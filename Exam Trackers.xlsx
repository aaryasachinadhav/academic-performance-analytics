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778cefff327589a/Desktop/GitHub/Project #1/"/>
    </mc:Choice>
  </mc:AlternateContent>
  <xr:revisionPtr revIDLastSave="11" documentId="11_08A7B78C7F6CCD62996A5F4C50C9E51AD761E184" xr6:coauthVersionLast="47" xr6:coauthVersionMax="47" xr10:uidLastSave="{03582865-E951-4A06-BC6C-46A59B56B3AB}"/>
  <bookViews>
    <workbookView xWindow="-110" yWindow="-110" windowWidth="19420" windowHeight="12220" activeTab="1" xr2:uid="{00000000-000D-0000-FFFF-FFFF00000000}"/>
  </bookViews>
  <sheets>
    <sheet name="Board Exam Tracker" sheetId="1" r:id="rId1"/>
    <sheet name="Exam Track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3" l="1"/>
  <c r="L38" i="3"/>
  <c r="K38" i="3"/>
  <c r="E38" i="3"/>
  <c r="M37" i="3"/>
  <c r="L37" i="3"/>
  <c r="K37" i="3"/>
  <c r="E37" i="3"/>
  <c r="Z36" i="3"/>
  <c r="AA36" i="3" s="1"/>
  <c r="Y36" i="3"/>
  <c r="X36" i="3"/>
  <c r="R36" i="3"/>
  <c r="M36" i="3"/>
  <c r="L36" i="3"/>
  <c r="K36" i="3"/>
  <c r="E36" i="3"/>
  <c r="Z35" i="3"/>
  <c r="AA35" i="3" s="1"/>
  <c r="Y35" i="3"/>
  <c r="X35" i="3"/>
  <c r="R35" i="3"/>
  <c r="M35" i="3"/>
  <c r="L35" i="3"/>
  <c r="K35" i="3"/>
  <c r="E35" i="3"/>
  <c r="Z34" i="3"/>
  <c r="AA34" i="3" s="1"/>
  <c r="Y34" i="3"/>
  <c r="X34" i="3"/>
  <c r="R34" i="3"/>
  <c r="M34" i="3"/>
  <c r="L34" i="3"/>
  <c r="K34" i="3"/>
  <c r="E34" i="3"/>
  <c r="Z33" i="3"/>
  <c r="AA33" i="3" s="1"/>
  <c r="Y33" i="3"/>
  <c r="X33" i="3"/>
  <c r="Z39" i="3" s="1"/>
  <c r="R33" i="3"/>
  <c r="M33" i="3"/>
  <c r="L44" i="3" s="1"/>
  <c r="L33" i="3"/>
  <c r="K33" i="3"/>
  <c r="E33" i="3"/>
  <c r="AA11" i="3"/>
  <c r="Z17" i="3" s="1"/>
  <c r="Z11" i="3"/>
  <c r="Y17" i="3" s="1"/>
  <c r="Y11" i="3"/>
  <c r="X11" i="3"/>
  <c r="R11" i="3"/>
  <c r="M11" i="3"/>
  <c r="L11" i="3"/>
  <c r="K11" i="3"/>
  <c r="E11" i="3"/>
  <c r="AA10" i="3"/>
  <c r="Z10" i="3"/>
  <c r="Y10" i="3"/>
  <c r="X10" i="3"/>
  <c r="R10" i="3"/>
  <c r="M10" i="3"/>
  <c r="L17" i="3" s="1"/>
  <c r="L10" i="3"/>
  <c r="K10" i="3"/>
  <c r="E10" i="3"/>
  <c r="AA9" i="3"/>
  <c r="Z9" i="3"/>
  <c r="Y9" i="3"/>
  <c r="X9" i="3"/>
  <c r="R9" i="3"/>
  <c r="M9" i="3"/>
  <c r="L9" i="3"/>
  <c r="K9" i="3"/>
  <c r="E9" i="3"/>
  <c r="AA8" i="3"/>
  <c r="Z8" i="3"/>
  <c r="Y8" i="3"/>
  <c r="X8" i="3"/>
  <c r="R8" i="3"/>
  <c r="M8" i="3"/>
  <c r="L8" i="3"/>
  <c r="K8" i="3"/>
  <c r="E8" i="3"/>
  <c r="AA7" i="3"/>
  <c r="Z7" i="3"/>
  <c r="Y7" i="3"/>
  <c r="X7" i="3"/>
  <c r="R7" i="3"/>
  <c r="M7" i="3"/>
  <c r="L7" i="3"/>
  <c r="K7" i="3"/>
  <c r="E7" i="3"/>
  <c r="AA6" i="3"/>
  <c r="Z6" i="3"/>
  <c r="Y6" i="3"/>
  <c r="X6" i="3"/>
  <c r="R6" i="3"/>
  <c r="M6" i="3"/>
  <c r="L6" i="3"/>
  <c r="K6" i="3"/>
  <c r="E6" i="3"/>
  <c r="T10" i="1"/>
  <c r="P10" i="1"/>
  <c r="O10" i="1"/>
  <c r="M10" i="1"/>
  <c r="L10" i="1"/>
  <c r="F10" i="1"/>
  <c r="T9" i="1"/>
  <c r="P9" i="1"/>
  <c r="O9" i="1"/>
  <c r="M9" i="1"/>
  <c r="L9" i="1"/>
  <c r="F9" i="1"/>
  <c r="T8" i="1"/>
  <c r="P8" i="1"/>
  <c r="O8" i="1"/>
  <c r="M8" i="1"/>
  <c r="L8" i="1"/>
  <c r="F8" i="1"/>
  <c r="T7" i="1"/>
  <c r="P7" i="1"/>
  <c r="O7" i="1"/>
  <c r="M7" i="1"/>
  <c r="L7" i="1"/>
  <c r="F7" i="1"/>
  <c r="T6" i="1"/>
  <c r="P6" i="1"/>
  <c r="O17" i="1" s="1"/>
  <c r="O6" i="1"/>
  <c r="M6" i="1"/>
  <c r="L6" i="1"/>
  <c r="F6" i="1"/>
  <c r="T5" i="1"/>
  <c r="P5" i="1"/>
  <c r="O5" i="1"/>
  <c r="P14" i="1" s="1"/>
  <c r="M5" i="1"/>
  <c r="L5" i="1"/>
  <c r="F5" i="1"/>
  <c r="Y39" i="3" l="1"/>
  <c r="U39" i="3"/>
  <c r="L43" i="3"/>
  <c r="L42" i="3"/>
  <c r="Y19" i="3"/>
  <c r="AA16" i="3"/>
  <c r="AA15" i="3"/>
  <c r="Y16" i="3"/>
  <c r="Y15" i="3"/>
  <c r="Z15" i="3"/>
  <c r="Z16" i="3"/>
  <c r="L15" i="3"/>
  <c r="L16" i="3"/>
  <c r="P17" i="1"/>
  <c r="P16" i="1"/>
  <c r="O14" i="1"/>
  <c r="O16" i="1"/>
  <c r="O15" i="1"/>
  <c r="O13" i="1"/>
  <c r="P15" i="1"/>
  <c r="P13" i="1"/>
</calcChain>
</file>

<file path=xl/sharedStrings.xml><?xml version="1.0" encoding="utf-8"?>
<sst xmlns="http://schemas.openxmlformats.org/spreadsheetml/2006/main" count="197" uniqueCount="52">
  <si>
    <t>Day</t>
  </si>
  <si>
    <t>Date</t>
  </si>
  <si>
    <t>Days to Prepare</t>
  </si>
  <si>
    <t>Days Left</t>
  </si>
  <si>
    <t>Subject</t>
  </si>
  <si>
    <t>Checkpoint</t>
  </si>
  <si>
    <t>Predictions</t>
  </si>
  <si>
    <t>Total Marks</t>
  </si>
  <si>
    <t>Actual Marks</t>
  </si>
  <si>
    <t>Predicted Percentage</t>
  </si>
  <si>
    <t>Actual Percentage</t>
  </si>
  <si>
    <t>Board wise</t>
  </si>
  <si>
    <t>Boardwise Predicted</t>
  </si>
  <si>
    <t>Subjects</t>
  </si>
  <si>
    <t>Time</t>
  </si>
  <si>
    <t>Column 1</t>
  </si>
  <si>
    <t>Source</t>
  </si>
  <si>
    <t>Monday</t>
  </si>
  <si>
    <t>Economics</t>
  </si>
  <si>
    <t>1.40 – 3.20</t>
  </si>
  <si>
    <t>Economics Project</t>
  </si>
  <si>
    <t>Friday</t>
  </si>
  <si>
    <t>-</t>
  </si>
  <si>
    <t>AI</t>
  </si>
  <si>
    <t>Wednesday</t>
  </si>
  <si>
    <t>English</t>
  </si>
  <si>
    <t>Accountancy</t>
  </si>
  <si>
    <t>Accountancy Journal</t>
  </si>
  <si>
    <t>Applied Math</t>
  </si>
  <si>
    <t>Thursday</t>
  </si>
  <si>
    <t>Business Studies</t>
  </si>
  <si>
    <t>Business Studies Project - Final</t>
  </si>
  <si>
    <t>Saturday</t>
  </si>
  <si>
    <t>9.00 – 12.00</t>
  </si>
  <si>
    <t>AI Practicals - Aarya Adhav</t>
  </si>
  <si>
    <t>All 6</t>
  </si>
  <si>
    <t>Top 5 (without internal)</t>
  </si>
  <si>
    <t>Top 5 (with internal)</t>
  </si>
  <si>
    <t>Tuesday</t>
  </si>
  <si>
    <t>Actual</t>
  </si>
  <si>
    <t>Predicted</t>
  </si>
  <si>
    <t>Internals</t>
  </si>
  <si>
    <t>Predicted BW</t>
  </si>
  <si>
    <t>Actual BW</t>
  </si>
  <si>
    <t>Days</t>
  </si>
  <si>
    <t>.</t>
  </si>
  <si>
    <t>9.30 AM - 12.30 PM</t>
  </si>
  <si>
    <t>Applied Math Practicals</t>
  </si>
  <si>
    <t>Engish Project</t>
  </si>
  <si>
    <t>Surpassed Predictions?</t>
  </si>
  <si>
    <t>All 6 (with internal)</t>
  </si>
  <si>
    <t>Top 4 (with Math)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</si>
</sst>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8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sz val="9"/>
      <color theme="1"/>
      <name val="Arial"/>
      <scheme val="minor"/>
    </font>
    <font>
      <sz val="11"/>
      <color rgb="FFFFFFFF"/>
      <name val="Arial"/>
      <scheme val="minor"/>
    </font>
    <font>
      <sz val="11"/>
      <color theme="1"/>
      <name val="Times New Roman"/>
    </font>
    <font>
      <u/>
      <sz val="11"/>
      <color theme="1"/>
      <name val="Arial"/>
      <scheme val="minor"/>
    </font>
    <font>
      <sz val="11"/>
      <color rgb="FFF6F8F9"/>
      <name val="Arial"/>
      <scheme val="minor"/>
    </font>
    <font>
      <sz val="11"/>
      <name val="Arial"/>
    </font>
    <font>
      <sz val="10"/>
      <color rgb="FFFFFFFF"/>
      <name val="Arial"/>
      <scheme val="minor"/>
    </font>
    <font>
      <sz val="11"/>
      <color rgb="FFFFFFFF"/>
      <name val="Arial"/>
      <scheme val="minor"/>
    </font>
    <font>
      <b/>
      <sz val="17"/>
      <color theme="1"/>
      <name val="Amatic SC"/>
    </font>
    <font>
      <b/>
      <sz val="11"/>
      <color theme="1"/>
      <name val="Amatic SC"/>
    </font>
    <font>
      <b/>
      <sz val="15"/>
      <color theme="1"/>
      <name val="Amatic SC"/>
    </font>
    <font>
      <b/>
      <sz val="17"/>
      <color theme="1"/>
      <name val="Times New Roman"/>
    </font>
    <font>
      <b/>
      <sz val="17"/>
      <color rgb="FF000000"/>
      <name val="Amatic SC"/>
    </font>
    <font>
      <b/>
      <u/>
      <sz val="17"/>
      <color theme="1"/>
      <name val="Amatic SC"/>
    </font>
    <font>
      <b/>
      <u/>
      <sz val="17"/>
      <color theme="1"/>
      <name val="Amatic SC"/>
    </font>
    <font>
      <b/>
      <sz val="17"/>
      <color rgb="FFFFFFFF"/>
      <name val="Amatic SC"/>
    </font>
  </fonts>
  <fills count="5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6F8F9"/>
        <bgColor rgb="FFF6F8F9"/>
      </patternFill>
    </fill>
    <fill>
      <patternFill patternType="solid">
        <fgColor rgb="FFE9F8CA"/>
        <bgColor rgb="FFE9F8CA"/>
      </patternFill>
    </fill>
  </fills>
  <borders count="10">
    <border>
      <left/>
      <right/>
      <top/>
      <bottom/>
      <diagonal/>
    </border>
    <border>
      <left style="thin">
        <color rgb="FF748C43"/>
      </left>
      <right style="thin">
        <color rgb="FF748C43"/>
      </right>
      <top style="thin">
        <color rgb="FF748C43"/>
      </top>
      <bottom style="thin">
        <color rgb="FF748C43"/>
      </bottom>
      <diagonal/>
    </border>
    <border>
      <left style="thin">
        <color rgb="FF748C43"/>
      </left>
      <right/>
      <top style="thin">
        <color rgb="FF748C43"/>
      </top>
      <bottom style="thin">
        <color rgb="FF748C43"/>
      </bottom>
      <diagonal/>
    </border>
    <border>
      <left/>
      <right style="thin">
        <color rgb="FF748C43"/>
      </right>
      <top style="thin">
        <color rgb="FF748C43"/>
      </top>
      <bottom style="thin">
        <color rgb="FF748C43"/>
      </bottom>
      <diagonal/>
    </border>
    <border>
      <left style="thin">
        <color rgb="FF748C43"/>
      </left>
      <right/>
      <top style="thin">
        <color rgb="FF748C43"/>
      </top>
      <bottom/>
      <diagonal/>
    </border>
    <border>
      <left/>
      <right style="thin">
        <color rgb="FF748C43"/>
      </right>
      <top style="thin">
        <color rgb="FF748C43"/>
      </top>
      <bottom/>
      <diagonal/>
    </border>
    <border>
      <left style="thin">
        <color rgb="FF748C43"/>
      </left>
      <right style="thin">
        <color rgb="FF748C43"/>
      </right>
      <top style="thin">
        <color rgb="FF748C43"/>
      </top>
      <bottom/>
      <diagonal/>
    </border>
    <border>
      <left style="double">
        <color rgb="FF748C43"/>
      </left>
      <right style="thin">
        <color rgb="FF748C43"/>
      </right>
      <top style="double">
        <color rgb="FF748C43"/>
      </top>
      <bottom style="double">
        <color rgb="FF748C43"/>
      </bottom>
      <diagonal/>
    </border>
    <border>
      <left style="thin">
        <color rgb="FF748C43"/>
      </left>
      <right style="double">
        <color rgb="FF748C43"/>
      </right>
      <top style="double">
        <color rgb="FF748C43"/>
      </top>
      <bottom style="double">
        <color rgb="FF748C43"/>
      </bottom>
      <diagonal/>
    </border>
    <border>
      <left style="thin">
        <color rgb="FF748C43"/>
      </left>
      <right style="thin">
        <color rgb="FF748C43"/>
      </right>
      <top/>
      <bottom style="thin">
        <color rgb="FF748C43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0" fontId="1" fillId="0" borderId="0" xfId="0" applyNumberFormat="1" applyFont="1"/>
    <xf numFmtId="0" fontId="8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10" fontId="1" fillId="0" borderId="6" xfId="0" applyNumberFormat="1" applyFont="1" applyBorder="1" applyAlignment="1">
      <alignment vertical="center"/>
    </xf>
    <xf numFmtId="10" fontId="1" fillId="0" borderId="6" xfId="0" applyNumberFormat="1" applyFont="1" applyBorder="1"/>
    <xf numFmtId="0" fontId="10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right"/>
    </xf>
    <xf numFmtId="10" fontId="10" fillId="0" borderId="6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9" xfId="0" applyFont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7" fillId="0" borderId="3" xfId="0" applyFont="1" applyBorder="1"/>
    <xf numFmtId="0" fontId="14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1" fillId="0" borderId="2" xfId="0" applyFont="1" applyBorder="1"/>
    <xf numFmtId="0" fontId="3" fillId="2" borderId="4" xfId="0" applyFont="1" applyFill="1" applyBorder="1" applyAlignment="1">
      <alignment vertical="center"/>
    </xf>
    <xf numFmtId="0" fontId="7" fillId="0" borderId="5" xfId="0" applyFont="1" applyBorder="1"/>
    <xf numFmtId="0" fontId="3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117"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C5BF"/>
          <bgColor rgb="FF35C5B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7D657"/>
          <bgColor rgb="FF87D657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E770"/>
          <bgColor rgb="FFF8E770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79B1"/>
          <bgColor rgb="FFFF79B1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FEBDF"/>
          <bgColor rgb="FFFFEBD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B081"/>
          <bgColor rgb="FFFFB081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86BB"/>
          <bgColor rgb="FFEF86BB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2E393"/>
          <bgColor rgb="FFC2E393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799FF"/>
          <bgColor rgb="FFC799F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79B1"/>
          <bgColor rgb="FFFF79B1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0DEBF"/>
          <bgColor rgb="FF80DEB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0DEBF"/>
          <bgColor rgb="FF80DEB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799FF"/>
          <bgColor rgb="FFC799F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C5BF"/>
          <bgColor rgb="FF35C5B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7D657"/>
          <bgColor rgb="FF87D657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E770"/>
          <bgColor rgb="FFF8E770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B081"/>
          <bgColor rgb="FFFFB081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79B1"/>
          <bgColor rgb="FFFF79B1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799FF"/>
          <bgColor rgb="FFC799FF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  <dxf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BB59"/>
          <bgColor rgb="FF9BBB59"/>
        </patternFill>
      </fill>
    </dxf>
  </dxfs>
  <tableStyles count="29">
    <tableStyle name="Exam Tracker-style" pivot="0" count="4" xr9:uid="{00000000-0011-0000-FFFF-FFFF00000000}">
      <tableStyleElement type="wholeTable" size="0" dxfId="113"/>
      <tableStyleElement type="headerRow" dxfId="116"/>
      <tableStyleElement type="firstRowStripe" dxfId="115"/>
      <tableStyleElement type="secondRowStripe" dxfId="114"/>
    </tableStyle>
    <tableStyle name="Exam Tracker-style 2" pivot="0" count="4" xr9:uid="{00000000-0011-0000-FFFF-FFFF01000000}">
      <tableStyleElement type="wholeTable" size="0" dxfId="109"/>
      <tableStyleElement type="headerRow" dxfId="112"/>
      <tableStyleElement type="firstRowStripe" dxfId="111"/>
      <tableStyleElement type="secondRowStripe" dxfId="110"/>
    </tableStyle>
    <tableStyle name="Exam Tracker-style 3" pivot="0" count="4" xr9:uid="{00000000-0011-0000-FFFF-FFFF02000000}">
      <tableStyleElement type="wholeTable" size="0" dxfId="105"/>
      <tableStyleElement type="headerRow" dxfId="108"/>
      <tableStyleElement type="firstRowStripe" dxfId="107"/>
      <tableStyleElement type="secondRowStripe" dxfId="106"/>
    </tableStyle>
    <tableStyle name="Exam Tracker-style 4" pivot="0" count="4" xr9:uid="{00000000-0011-0000-FFFF-FFFF03000000}">
      <tableStyleElement type="wholeTable" size="0" dxfId="101"/>
      <tableStyleElement type="headerRow" dxfId="104"/>
      <tableStyleElement type="firstRowStripe" dxfId="103"/>
      <tableStyleElement type="secondRowStripe" dxfId="102"/>
    </tableStyle>
    <tableStyle name="Exam Tracker-style 5" pivot="0" count="4" xr9:uid="{00000000-0011-0000-FFFF-FFFF04000000}">
      <tableStyleElement type="wholeTable" size="0" dxfId="97"/>
      <tableStyleElement type="headerRow" dxfId="100"/>
      <tableStyleElement type="firstRowStripe" dxfId="99"/>
      <tableStyleElement type="secondRowStripe" dxfId="98"/>
    </tableStyle>
    <tableStyle name="Copy of Board Exam Tracker-style" pivot="0" count="4" xr9:uid="{00000000-0011-0000-FFFF-FFFF05000000}">
      <tableStyleElement type="wholeTable" size="0" dxfId="93"/>
      <tableStyleElement type="headerRow" dxfId="96"/>
      <tableStyleElement type="firstRowStripe" dxfId="95"/>
      <tableStyleElement type="secondRowStripe" dxfId="94"/>
    </tableStyle>
    <tableStyle name="Copy of Board Exam Tracker-style 2" pivot="0" count="4" xr9:uid="{00000000-0011-0000-FFFF-FFFF06000000}">
      <tableStyleElement type="wholeTable" size="0" dxfId="89"/>
      <tableStyleElement type="headerRow" dxfId="92"/>
      <tableStyleElement type="firstRowStripe" dxfId="91"/>
      <tableStyleElement type="secondRowStripe" dxfId="90"/>
    </tableStyle>
    <tableStyle name="Business Studies-style" pivot="0" count="4" xr9:uid="{00000000-0011-0000-FFFF-FFFF07000000}">
      <tableStyleElement type="wholeTable" size="0" dxfId="85"/>
      <tableStyleElement type="headerRow" dxfId="88"/>
      <tableStyleElement type="firstRowStripe" dxfId="87"/>
      <tableStyleElement type="secondRowStripe" dxfId="86"/>
    </tableStyle>
    <tableStyle name="Board Exam Tracker-style" pivot="0" count="4" xr9:uid="{00000000-0011-0000-FFFF-FFFF08000000}">
      <tableStyleElement type="wholeTable" size="0" dxfId="81"/>
      <tableStyleElement type="headerRow" dxfId="84"/>
      <tableStyleElement type="firstRowStripe" dxfId="83"/>
      <tableStyleElement type="secondRowStripe" dxfId="82"/>
    </tableStyle>
    <tableStyle name="Board Exam Tracker-style 2" pivot="0" count="4" xr9:uid="{00000000-0011-0000-FFFF-FFFF09000000}">
      <tableStyleElement type="wholeTable" size="0" dxfId="77"/>
      <tableStyleElement type="headerRow" dxfId="80"/>
      <tableStyleElement type="firstRowStripe" dxfId="79"/>
      <tableStyleElement type="secondRowStripe" dxfId="78"/>
    </tableStyle>
    <tableStyle name="Topic-wise Tracker-style" pivot="0" count="4" xr9:uid="{00000000-0011-0000-FFFF-FFFF0A000000}">
      <tableStyleElement type="wholeTable" size="0" dxfId="73"/>
      <tableStyleElement type="headerRow" dxfId="76"/>
      <tableStyleElement type="firstRowStripe" dxfId="75"/>
      <tableStyleElement type="secondRowStripe" dxfId="74"/>
    </tableStyle>
    <tableStyle name="Topic-wise Tracker-style 2" pivot="0" count="4" xr9:uid="{00000000-0011-0000-FFFF-FFFF0B000000}">
      <tableStyleElement type="wholeTable" size="0" dxfId="69"/>
      <tableStyleElement type="headerRow" dxfId="72"/>
      <tableStyleElement type="firstRowStripe" dxfId="71"/>
      <tableStyleElement type="secondRowStripe" dxfId="70"/>
    </tableStyle>
    <tableStyle name="Topic-wise Tracker-style 3" pivot="0" count="4" xr9:uid="{00000000-0011-0000-FFFF-FFFF0C000000}">
      <tableStyleElement type="wholeTable" size="0" dxfId="65"/>
      <tableStyleElement type="headerRow" dxfId="68"/>
      <tableStyleElement type="firstRowStripe" dxfId="67"/>
      <tableStyleElement type="secondRowStripe" dxfId="66"/>
    </tableStyle>
    <tableStyle name="Topic-wise Tracker-style 4" pivot="0" count="4" xr9:uid="{00000000-0011-0000-FFFF-FFFF0D000000}">
      <tableStyleElement type="wholeTable" size="0" dxfId="61"/>
      <tableStyleElement type="headerRow" dxfId="64"/>
      <tableStyleElement type="firstRowStripe" dxfId="63"/>
      <tableStyleElement type="secondRowStripe" dxfId="62"/>
    </tableStyle>
    <tableStyle name="Topic-wise Tracker-style 5" pivot="0" count="4" xr9:uid="{00000000-0011-0000-FFFF-FFFF0E000000}">
      <tableStyleElement type="wholeTable" size="0" dxfId="57"/>
      <tableStyleElement type="headerRow" dxfId="60"/>
      <tableStyleElement type="firstRowStripe" dxfId="59"/>
      <tableStyleElement type="secondRowStripe" dxfId="58"/>
    </tableStyle>
    <tableStyle name="Topic-wise Tracker-style 6" pivot="0" count="4" xr9:uid="{00000000-0011-0000-FFFF-FFFF0F000000}">
      <tableStyleElement type="wholeTable" size="0" dxfId="53"/>
      <tableStyleElement type="headerRow" dxfId="56"/>
      <tableStyleElement type="firstRowStripe" dxfId="55"/>
      <tableStyleElement type="secondRowStripe" dxfId="54"/>
    </tableStyle>
    <tableStyle name="AI-style" pivot="0" count="4" xr9:uid="{00000000-0011-0000-FFFF-FFFF10000000}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AI-style 2" pivot="0" count="4" xr9:uid="{00000000-0011-0000-FFFF-FFFF11000000}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Applied Math-style" pivot="0" count="4" xr9:uid="{00000000-0011-0000-FFFF-FFFF12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English-style" pivot="0" count="4" xr9:uid="{00000000-0011-0000-FFFF-FFFF13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Marks Calculator-style" pivot="0" count="4" xr9:uid="{00000000-0011-0000-FFFF-FFFF14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Marks Calculator-style 2" pivot="0" count="4" xr9:uid="{00000000-0011-0000-FFFF-FFFF15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Marks Calculator-style 3" pivot="0" count="4" xr9:uid="{00000000-0011-0000-FFFF-FFFF16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Revision Checklist-style" pivot="0" count="5" xr9:uid="{00000000-0011-0000-FFFF-FFFF17000000}">
      <tableStyleElement type="wholeTable" size="0" dxfId="20"/>
      <tableStyleElement type="headerRow" dxfId="24"/>
      <tableStyleElement type="totalRow" dxfId="21"/>
      <tableStyleElement type="firstRowStripe" dxfId="23"/>
      <tableStyleElement type="secondRowStripe" dxfId="22"/>
    </tableStyle>
    <tableStyle name="Revision Checklist-style 2" pivot="0" count="4" xr9:uid="{00000000-0011-0000-FFFF-FFFF18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Revision Checklist-style 3" pivot="0" count="4" xr9:uid="{00000000-0011-0000-FFFF-FFFF19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Revision Checklist-style 4" pivot="0" count="4" xr9:uid="{00000000-0011-0000-FFFF-FFFF1A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evision Checklist-style 5" pivot="0" count="4" xr9:uid="{00000000-0011-0000-FFFF-FFFF1B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erm 1-style" pivot="0" count="4" xr9:uid="{00000000-0011-0000-FFFF-FFFF1C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'Board Exam Tracker'!$L$4</c:f>
              <c:strCache>
                <c:ptCount val="1"/>
                <c:pt idx="0">
                  <c:v>Predicted Percentage</c:v>
                </c:pt>
              </c:strCache>
            </c:strRef>
          </c:tx>
          <c:spPr>
            <a:ln cmpd="sng">
              <a:solidFill>
                <a:srgbClr val="D0E493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229-40F1-84C0-D0A510ECFD99}"/>
              </c:ext>
            </c:extLst>
          </c:dPt>
          <c:cat>
            <c:strRef>
              <c:f>'Board Exam Tracker'!$G$5:$G$10</c:f>
              <c:strCache>
                <c:ptCount val="6"/>
                <c:pt idx="0">
                  <c:v>Accountancy</c:v>
                </c:pt>
                <c:pt idx="1">
                  <c:v>Applied Math</c:v>
                </c:pt>
                <c:pt idx="2">
                  <c:v>English</c:v>
                </c:pt>
                <c:pt idx="3">
                  <c:v>Economics</c:v>
                </c:pt>
                <c:pt idx="4">
                  <c:v>AI</c:v>
                </c:pt>
                <c:pt idx="5">
                  <c:v>Business Studies</c:v>
                </c:pt>
              </c:strCache>
            </c:strRef>
          </c:cat>
          <c:val>
            <c:numRef>
              <c:f>'Board Exam Tracker'!$L$5:$L$10</c:f>
              <c:numCache>
                <c:formatCode>0.00%</c:formatCode>
                <c:ptCount val="6"/>
                <c:pt idx="0">
                  <c:v>0.78749999999999998</c:v>
                </c:pt>
                <c:pt idx="1">
                  <c:v>0.85</c:v>
                </c:pt>
                <c:pt idx="2">
                  <c:v>0.91249999999999998</c:v>
                </c:pt>
                <c:pt idx="3">
                  <c:v>0.8125</c:v>
                </c:pt>
                <c:pt idx="4">
                  <c:v>0.96</c:v>
                </c:pt>
                <c:pt idx="5">
                  <c:v>0.82499999999999996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29-40F1-84C0-D0A510ECFD99}"/>
            </c:ext>
          </c:extLst>
        </c:ser>
        <c:ser>
          <c:idx val="1"/>
          <c:order val="1"/>
          <c:tx>
            <c:strRef>
              <c:f>'Board Exam Tracker'!$M$4</c:f>
              <c:strCache>
                <c:ptCount val="1"/>
                <c:pt idx="0">
                  <c:v>Actual Percentage</c:v>
                </c:pt>
              </c:strCache>
            </c:strRef>
          </c:tx>
          <c:spPr>
            <a:ln cmpd="sng">
              <a:solidFill>
                <a:srgbClr val="748C4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'Board Exam Tracker'!$G$5:$G$10</c:f>
              <c:strCache>
                <c:ptCount val="6"/>
                <c:pt idx="0">
                  <c:v>Accountancy</c:v>
                </c:pt>
                <c:pt idx="1">
                  <c:v>Applied Math</c:v>
                </c:pt>
                <c:pt idx="2">
                  <c:v>English</c:v>
                </c:pt>
                <c:pt idx="3">
                  <c:v>Economics</c:v>
                </c:pt>
                <c:pt idx="4">
                  <c:v>AI</c:v>
                </c:pt>
                <c:pt idx="5">
                  <c:v>Business Studies</c:v>
                </c:pt>
              </c:strCache>
            </c:strRef>
          </c:cat>
          <c:val>
            <c:numRef>
              <c:f>'Board Exam Tracker'!$M$5:$M$10</c:f>
              <c:numCache>
                <c:formatCode>0.00%</c:formatCode>
                <c:ptCount val="6"/>
                <c:pt idx="0">
                  <c:v>0.85</c:v>
                </c:pt>
                <c:pt idx="1">
                  <c:v>0.9375</c:v>
                </c:pt>
                <c:pt idx="2">
                  <c:v>0.91249999999999998</c:v>
                </c:pt>
                <c:pt idx="3">
                  <c:v>0.88749999999999996</c:v>
                </c:pt>
                <c:pt idx="4">
                  <c:v>1</c:v>
                </c:pt>
                <c:pt idx="5">
                  <c:v>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29-40F1-84C0-D0A510ECF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118999"/>
        <c:axId val="698628826"/>
      </c:lineChart>
      <c:catAx>
        <c:axId val="743118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8628826"/>
        <c:crosses val="autoZero"/>
        <c:auto val="1"/>
        <c:lblAlgn val="ctr"/>
        <c:lblOffset val="100"/>
        <c:noMultiLvlLbl val="1"/>
      </c:catAx>
      <c:valAx>
        <c:axId val="698628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31189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'Exam Tracker'!$K$4:$K$5</c:f>
              <c:strCache>
                <c:ptCount val="2"/>
                <c:pt idx="0">
                  <c:v>Predicted Percentage</c:v>
                </c:pt>
              </c:strCache>
            </c:strRef>
          </c:tx>
          <c:spPr>
            <a:ln cmpd="sng">
              <a:solidFill>
                <a:srgbClr val="D0E493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D0E493">
                  <a:alpha val="100000"/>
                </a:srgbClr>
              </a:solidFill>
              <a:ln cmpd="sng">
                <a:solidFill>
                  <a:srgbClr val="D0E493">
                    <a:alpha val="100000"/>
                  </a:srgbClr>
                </a:solidFill>
              </a:ln>
            </c:spPr>
          </c:marker>
          <c:val>
            <c:numRef>
              <c:f>'Exam Tracker'!$K$6:$K$12</c:f>
              <c:numCache>
                <c:formatCode>0.00%</c:formatCode>
                <c:ptCount val="7"/>
                <c:pt idx="0">
                  <c:v>0.86</c:v>
                </c:pt>
                <c:pt idx="1">
                  <c:v>0.5</c:v>
                </c:pt>
                <c:pt idx="2">
                  <c:v>0.53749999999999998</c:v>
                </c:pt>
                <c:pt idx="3">
                  <c:v>0.86250000000000004</c:v>
                </c:pt>
                <c:pt idx="4">
                  <c:v>0.65</c:v>
                </c:pt>
                <c:pt idx="5">
                  <c:v>0.86250000000000004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8B-4F2A-85E7-4490824E2F14}"/>
            </c:ext>
          </c:extLst>
        </c:ser>
        <c:ser>
          <c:idx val="1"/>
          <c:order val="1"/>
          <c:tx>
            <c:strRef>
              <c:f>'Exam Tracker'!$L$4:$L$5</c:f>
              <c:strCache>
                <c:ptCount val="2"/>
                <c:pt idx="0">
                  <c:v>Actual Percentage</c:v>
                </c:pt>
              </c:strCache>
            </c:strRef>
          </c:tx>
          <c:spPr>
            <a:ln cmpd="sng">
              <a:solidFill>
                <a:srgbClr val="748C43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748C43">
                  <a:alpha val="100000"/>
                </a:srgbClr>
              </a:solidFill>
              <a:ln cmpd="sng">
                <a:solidFill>
                  <a:srgbClr val="748C43">
                    <a:alpha val="100000"/>
                  </a:srgbClr>
                </a:solidFill>
              </a:ln>
            </c:spPr>
          </c:marker>
          <c:val>
            <c:numRef>
              <c:f>'Exam Tracker'!$L$6:$L$12</c:f>
              <c:numCache>
                <c:formatCode>0.00%</c:formatCode>
                <c:ptCount val="7"/>
                <c:pt idx="0">
                  <c:v>0.9</c:v>
                </c:pt>
                <c:pt idx="1">
                  <c:v>0.625</c:v>
                </c:pt>
                <c:pt idx="2">
                  <c:v>0.63124999999999998</c:v>
                </c:pt>
                <c:pt idx="3">
                  <c:v>0.75</c:v>
                </c:pt>
                <c:pt idx="4">
                  <c:v>0.875</c:v>
                </c:pt>
                <c:pt idx="5">
                  <c:v>0.92500000000000004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8B-4F2A-85E7-4490824E2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270209"/>
        <c:axId val="1422715284"/>
      </c:lineChart>
      <c:catAx>
        <c:axId val="1874270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2715284"/>
        <c:crosses val="autoZero"/>
        <c:auto val="1"/>
        <c:lblAlgn val="ctr"/>
        <c:lblOffset val="100"/>
        <c:noMultiLvlLbl val="1"/>
      </c:catAx>
      <c:valAx>
        <c:axId val="1422715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42702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Actual</c:v>
          </c:tx>
          <c:spPr>
            <a:solidFill>
              <a:srgbClr val="849E00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48C43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B808-4B3D-9652-F5ACA912B3A3}"/>
              </c:ext>
            </c:extLst>
          </c:dPt>
          <c:dPt>
            <c:idx val="1"/>
            <c:invertIfNegative val="1"/>
            <c:bubble3D val="0"/>
            <c:spPr>
              <a:solidFill>
                <a:srgbClr val="748C43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B808-4B3D-9652-F5ACA912B3A3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B808-4B3D-9652-F5ACA912B3A3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B808-4B3D-9652-F5ACA912B3A3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B808-4B3D-9652-F5ACA912B3A3}"/>
              </c:ext>
            </c:extLst>
          </c:dPt>
          <c:dPt>
            <c:idx val="5"/>
            <c:invertIfNegative val="1"/>
            <c:bubble3D val="0"/>
            <c:spPr>
              <a:solidFill>
                <a:srgbClr val="748C43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B-B808-4B3D-9652-F5ACA912B3A3}"/>
              </c:ext>
            </c:extLst>
          </c:dPt>
          <c:val>
            <c:numRef>
              <c:f>'Exam Tracker'!$L$6:$L$11</c:f>
              <c:numCache>
                <c:formatCode>0.00%</c:formatCode>
                <c:ptCount val="6"/>
                <c:pt idx="0">
                  <c:v>0.9</c:v>
                </c:pt>
                <c:pt idx="1">
                  <c:v>0.625</c:v>
                </c:pt>
                <c:pt idx="2">
                  <c:v>0.63124999999999998</c:v>
                </c:pt>
                <c:pt idx="3">
                  <c:v>0.75</c:v>
                </c:pt>
                <c:pt idx="4">
                  <c:v>0.875</c:v>
                </c:pt>
                <c:pt idx="5">
                  <c:v>0.92500000000000004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B808-4B3D-9652-F5ACA912B3A3}"/>
            </c:ext>
          </c:extLst>
        </c:ser>
        <c:ser>
          <c:idx val="1"/>
          <c:order val="1"/>
          <c:tx>
            <c:v>Predicted</c:v>
          </c:tx>
          <c:spPr>
            <a:solidFill>
              <a:srgbClr val="D0E493"/>
            </a:solidFill>
            <a:ln cmpd="sng">
              <a:noFill/>
            </a:ln>
          </c:spPr>
          <c:invertIfNegative val="1"/>
          <c:val>
            <c:numRef>
              <c:f>'Exam Tracker'!$K$6:$K$11</c:f>
              <c:numCache>
                <c:formatCode>0.00%</c:formatCode>
                <c:ptCount val="6"/>
                <c:pt idx="0">
                  <c:v>0.86</c:v>
                </c:pt>
                <c:pt idx="1">
                  <c:v>0.5</c:v>
                </c:pt>
                <c:pt idx="2">
                  <c:v>0.53749999999999998</c:v>
                </c:pt>
                <c:pt idx="3">
                  <c:v>0.86250000000000004</c:v>
                </c:pt>
                <c:pt idx="4">
                  <c:v>0.65</c:v>
                </c:pt>
                <c:pt idx="5">
                  <c:v>0.86250000000000004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B808-4B3D-9652-F5ACA912B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3361060"/>
        <c:axId val="35442330"/>
      </c:barChart>
      <c:catAx>
        <c:axId val="1593361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442330"/>
        <c:crosses val="autoZero"/>
        <c:auto val="1"/>
        <c:lblAlgn val="ctr"/>
        <c:lblOffset val="100"/>
        <c:noMultiLvlLbl val="1"/>
      </c:catAx>
      <c:valAx>
        <c:axId val="3544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33610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D0E493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D0E493">
                  <a:alpha val="100000"/>
                </a:srgbClr>
              </a:solidFill>
              <a:ln cmpd="sng">
                <a:solidFill>
                  <a:srgbClr val="D0E493">
                    <a:alpha val="100000"/>
                  </a:srgbClr>
                </a:solidFill>
              </a:ln>
            </c:spPr>
          </c:marker>
          <c:val>
            <c:numRef>
              <c:f>'Exam Tracker'!$K$33:$K$38</c:f>
              <c:numCache>
                <c:formatCode>0.00%</c:formatCode>
                <c:ptCount val="6"/>
                <c:pt idx="0">
                  <c:v>0.95</c:v>
                </c:pt>
                <c:pt idx="1">
                  <c:v>0.85</c:v>
                </c:pt>
                <c:pt idx="2">
                  <c:v>0.85</c:v>
                </c:pt>
                <c:pt idx="3">
                  <c:v>0.95</c:v>
                </c:pt>
                <c:pt idx="4">
                  <c:v>0.7</c:v>
                </c:pt>
                <c:pt idx="5">
                  <c:v>0.875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B7-4647-BED2-82740098DAB3}"/>
            </c:ext>
          </c:extLst>
        </c:ser>
        <c:ser>
          <c:idx val="1"/>
          <c:order val="1"/>
          <c:spPr>
            <a:ln cmpd="sng">
              <a:solidFill>
                <a:srgbClr val="748C43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748C43">
                  <a:alpha val="100000"/>
                </a:srgbClr>
              </a:solidFill>
              <a:ln cmpd="sng">
                <a:solidFill>
                  <a:srgbClr val="748C43">
                    <a:alpha val="100000"/>
                  </a:srgbClr>
                </a:solidFill>
              </a:ln>
            </c:spPr>
          </c:marker>
          <c:val>
            <c:numRef>
              <c:f>'Exam Tracker'!$L$33:$L$38</c:f>
              <c:numCache>
                <c:formatCode>0.00%</c:formatCode>
                <c:ptCount val="6"/>
                <c:pt idx="0">
                  <c:v>0.96250000000000002</c:v>
                </c:pt>
                <c:pt idx="1">
                  <c:v>0.75</c:v>
                </c:pt>
                <c:pt idx="2">
                  <c:v>0.83750000000000002</c:v>
                </c:pt>
                <c:pt idx="3">
                  <c:v>0.96250000000000002</c:v>
                </c:pt>
                <c:pt idx="4">
                  <c:v>0.75</c:v>
                </c:pt>
                <c:pt idx="5">
                  <c:v>0.96250000000000002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B7-4647-BED2-82740098D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72551"/>
        <c:axId val="1157941733"/>
      </c:lineChart>
      <c:catAx>
        <c:axId val="2046272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7941733"/>
        <c:crosses val="autoZero"/>
        <c:auto val="1"/>
        <c:lblAlgn val="ctr"/>
        <c:lblOffset val="100"/>
        <c:noMultiLvlLbl val="1"/>
      </c:catAx>
      <c:valAx>
        <c:axId val="1157941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62725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Predicted</c:v>
          </c:tx>
          <c:spPr>
            <a:solidFill>
              <a:srgbClr val="D0E493"/>
            </a:solidFill>
            <a:ln cmpd="sng">
              <a:noFill/>
            </a:ln>
          </c:spPr>
          <c:invertIfNegative val="1"/>
          <c:val>
            <c:numRef>
              <c:f>'Exam Tracker'!$K$33:$K$38</c:f>
              <c:numCache>
                <c:formatCode>0.00%</c:formatCode>
                <c:ptCount val="6"/>
                <c:pt idx="0">
                  <c:v>0.95</c:v>
                </c:pt>
                <c:pt idx="1">
                  <c:v>0.85</c:v>
                </c:pt>
                <c:pt idx="2">
                  <c:v>0.85</c:v>
                </c:pt>
                <c:pt idx="3">
                  <c:v>0.95</c:v>
                </c:pt>
                <c:pt idx="4">
                  <c:v>0.7</c:v>
                </c:pt>
                <c:pt idx="5">
                  <c:v>0.875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BC-43DA-A302-91A64A568BFB}"/>
            </c:ext>
          </c:extLst>
        </c:ser>
        <c:ser>
          <c:idx val="1"/>
          <c:order val="1"/>
          <c:tx>
            <c:v>Actual</c:v>
          </c:tx>
          <c:spPr>
            <a:solidFill>
              <a:srgbClr val="849E00"/>
            </a:solidFill>
            <a:ln cmpd="sng">
              <a:noFill/>
            </a:ln>
          </c:spPr>
          <c:invertIfNegative val="1"/>
          <c:val>
            <c:numRef>
              <c:f>'Exam Tracker'!$L$33:$L$38</c:f>
              <c:numCache>
                <c:formatCode>0.00%</c:formatCode>
                <c:ptCount val="6"/>
                <c:pt idx="0">
                  <c:v>0.96250000000000002</c:v>
                </c:pt>
                <c:pt idx="1">
                  <c:v>0.75</c:v>
                </c:pt>
                <c:pt idx="2">
                  <c:v>0.83750000000000002</c:v>
                </c:pt>
                <c:pt idx="3">
                  <c:v>0.96250000000000002</c:v>
                </c:pt>
                <c:pt idx="4">
                  <c:v>0.75</c:v>
                </c:pt>
                <c:pt idx="5">
                  <c:v>0.96250000000000002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BC-43DA-A302-91A64A56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735299"/>
        <c:axId val="1297963338"/>
      </c:barChart>
      <c:catAx>
        <c:axId val="341735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7963338"/>
        <c:crosses val="autoZero"/>
        <c:auto val="1"/>
        <c:lblAlgn val="ctr"/>
        <c:lblOffset val="100"/>
        <c:noMultiLvlLbl val="1"/>
      </c:catAx>
      <c:valAx>
        <c:axId val="1297963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17352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Predicted Percentage</c:v>
          </c:tx>
          <c:spPr>
            <a:solidFill>
              <a:srgbClr val="D0E493"/>
            </a:solidFill>
            <a:ln cmpd="sng">
              <a:noFill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D0E493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2F00-499C-94E7-AEB0D0BBF80B}"/>
              </c:ext>
            </c:extLst>
          </c:dPt>
          <c:cat>
            <c:numRef>
              <c:f>'Exam Tracker'!$D$27</c:f>
              <c:numCache>
                <c:formatCode>General</c:formatCode>
                <c:ptCount val="1"/>
              </c:numCache>
            </c:numRef>
          </c:cat>
          <c:val>
            <c:numRef>
              <c:f>'Exam Tracker'!$S$6:$S$11</c:f>
              <c:numCache>
                <c:formatCode>@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F00-499C-94E7-AEB0D0BBF80B}"/>
            </c:ext>
          </c:extLst>
        </c:ser>
        <c:ser>
          <c:idx val="1"/>
          <c:order val="1"/>
          <c:tx>
            <c:v>Actual Percentage</c:v>
          </c:tx>
          <c:spPr>
            <a:solidFill>
              <a:srgbClr val="748C43"/>
            </a:solidFill>
            <a:ln cmpd="sng">
              <a:noFill/>
            </a:ln>
          </c:spPr>
          <c:invertIfNegative val="1"/>
          <c:cat>
            <c:numRef>
              <c:f>'Exam Tracker'!$D$27</c:f>
              <c:numCache>
                <c:formatCode>General</c:formatCode>
                <c:ptCount val="1"/>
              </c:numCache>
            </c:numRef>
          </c:cat>
          <c:val>
            <c:numRef>
              <c:f>'Exam Tracker'!$X$6:$X$11</c:f>
              <c:numCache>
                <c:formatCode>0.00%</c:formatCode>
                <c:ptCount val="6"/>
                <c:pt idx="0">
                  <c:v>0.92500000000000004</c:v>
                </c:pt>
                <c:pt idx="1">
                  <c:v>0.9</c:v>
                </c:pt>
                <c:pt idx="2">
                  <c:v>0.77500000000000002</c:v>
                </c:pt>
                <c:pt idx="3">
                  <c:v>0.8125</c:v>
                </c:pt>
                <c:pt idx="4">
                  <c:v>0.85</c:v>
                </c:pt>
                <c:pt idx="5">
                  <c:v>0.6875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F00-499C-94E7-AEB0D0BBF80B}"/>
            </c:ext>
          </c:extLst>
        </c:ser>
        <c:ser>
          <c:idx val="2"/>
          <c:order val="2"/>
          <c:invertIfNegative val="1"/>
          <c:cat>
            <c:numRef>
              <c:f>'Exam Tracker'!$D$27</c:f>
              <c:numCache>
                <c:formatCode>General</c:formatCode>
                <c:ptCount val="1"/>
              </c:numCache>
            </c:numRef>
          </c:cat>
          <c:val>
            <c:numRef>
              <c:f>'Exam Tracker'!$Y$6:$Y$11</c:f>
              <c:numCache>
                <c:formatCode>0.00%</c:formatCode>
                <c:ptCount val="6"/>
                <c:pt idx="0">
                  <c:v>0.85624999999999996</c:v>
                </c:pt>
                <c:pt idx="1">
                  <c:v>0.96</c:v>
                </c:pt>
                <c:pt idx="2">
                  <c:v>0.5625</c:v>
                </c:pt>
                <c:pt idx="3">
                  <c:v>0.83125000000000004</c:v>
                </c:pt>
                <c:pt idx="4">
                  <c:v>0.86250000000000004</c:v>
                </c:pt>
                <c:pt idx="5">
                  <c:v>0.60624999999999996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00-499C-94E7-AEB0D0BBF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788865"/>
        <c:axId val="199498553"/>
      </c:barChart>
      <c:catAx>
        <c:axId val="143078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98553"/>
        <c:crosses val="autoZero"/>
        <c:auto val="1"/>
        <c:lblAlgn val="ctr"/>
        <c:lblOffset val="100"/>
        <c:noMultiLvlLbl val="1"/>
      </c:catAx>
      <c:valAx>
        <c:axId val="199498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078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10</xdr:row>
      <xdr:rowOff>171450</xdr:rowOff>
    </xdr:from>
    <xdr:ext cx="6781800" cy="31908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542925</xdr:colOff>
      <xdr:row>10</xdr:row>
      <xdr:rowOff>171450</xdr:rowOff>
    </xdr:from>
    <xdr:ext cx="3514725" cy="3190875"/>
    <xdr:pic>
      <xdr:nvPicPr>
        <xdr:cNvPr id="753556938" name="Chart5" title="Chart">
          <a:extLst>
            <a:ext uri="{FF2B5EF4-FFF2-40B4-BE49-F238E27FC236}">
              <a16:creationId xmlns:a16="http://schemas.microsoft.com/office/drawing/2014/main" id="{00000000-0008-0000-0000-0000CA5DEA2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942975</xdr:colOff>
      <xdr:row>12</xdr:row>
      <xdr:rowOff>171450</xdr:rowOff>
    </xdr:from>
    <xdr:ext cx="4505325" cy="28575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1133475</xdr:colOff>
      <xdr:row>12</xdr:row>
      <xdr:rowOff>171450</xdr:rowOff>
    </xdr:from>
    <xdr:ext cx="4505325" cy="28575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942975</xdr:colOff>
      <xdr:row>39</xdr:row>
      <xdr:rowOff>171450</xdr:rowOff>
    </xdr:from>
    <xdr:ext cx="4505325" cy="285750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1066800</xdr:colOff>
      <xdr:row>39</xdr:row>
      <xdr:rowOff>171450</xdr:rowOff>
    </xdr:from>
    <xdr:ext cx="4572000" cy="28575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552450</xdr:colOff>
      <xdr:row>12</xdr:row>
      <xdr:rowOff>257175</xdr:rowOff>
    </xdr:from>
    <xdr:ext cx="7162800" cy="295275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heory_Exam" displayName="Theory_Exam" ref="C4:P10">
  <tableColumns count="14">
    <tableColumn id="1" xr3:uid="{00000000-0010-0000-0000-000001000000}" name="Day"/>
    <tableColumn id="2" xr3:uid="{00000000-0010-0000-0000-000002000000}" name="Date"/>
    <tableColumn id="3" xr3:uid="{00000000-0010-0000-0000-000003000000}" name="Days to Prepare"/>
    <tableColumn id="4" xr3:uid="{00000000-0010-0000-0000-000004000000}" name="Days Left"/>
    <tableColumn id="5" xr3:uid="{00000000-0010-0000-0000-000005000000}" name="Subject"/>
    <tableColumn id="6" xr3:uid="{00000000-0010-0000-0000-000006000000}" name="Surpassed Predictions?"/>
    <tableColumn id="7" xr3:uid="{00000000-0010-0000-0000-000007000000}" name="Predictions"/>
    <tableColumn id="8" xr3:uid="{00000000-0010-0000-0000-000008000000}" name="Total Marks"/>
    <tableColumn id="9" xr3:uid="{00000000-0010-0000-0000-000009000000}" name="Actual Marks"/>
    <tableColumn id="10" xr3:uid="{00000000-0010-0000-0000-00000A000000}" name="Predicted Percentage"/>
    <tableColumn id="11" xr3:uid="{00000000-0010-0000-0000-00000B000000}" name="Actual Percentage"/>
    <tableColumn id="12" xr3:uid="{00000000-0010-0000-0000-00000C000000}" name="Internals"/>
    <tableColumn id="13" xr3:uid="{00000000-0010-0000-0000-00000D000000}" name="Predicted BW"/>
    <tableColumn id="14" xr3:uid="{00000000-0010-0000-0000-00000E000000}" name="Actual BW"/>
  </tableColumns>
  <tableStyleInfo name="Board Exam Trac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VIVA_Timetable" displayName="VIVA_Timetable" ref="R4:X10">
  <tableColumns count="7">
    <tableColumn id="1" xr3:uid="{00000000-0010-0000-0100-000001000000}" name="Date"/>
    <tableColumn id="2" xr3:uid="{00000000-0010-0000-0100-000002000000}" name="Day"/>
    <tableColumn id="3" xr3:uid="{00000000-0010-0000-0100-000003000000}" name="Days"/>
    <tableColumn id="4" xr3:uid="{00000000-0010-0000-0100-000004000000}" name="Subjects"/>
    <tableColumn id="5" xr3:uid="{00000000-0010-0000-0100-000005000000}" name="Time"/>
    <tableColumn id="6" xr3:uid="{00000000-0010-0000-0100-000006000000}" name="."/>
    <tableColumn id="7" xr3:uid="{00000000-0010-0000-0100-000007000000}" name="Source"/>
  </tableColumns>
  <tableStyleInfo name="Board Exam Tracker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erm_1" displayName="Term_1" ref="B4:M12">
  <tableColumns count="12">
    <tableColumn id="1" xr3:uid="{00000000-0010-0000-0400-000001000000}" name="Day"/>
    <tableColumn id="2" xr3:uid="{00000000-0010-0000-0400-000002000000}" name="Date"/>
    <tableColumn id="3" xr3:uid="{00000000-0010-0000-0400-000003000000}" name="Days to Prepare"/>
    <tableColumn id="4" xr3:uid="{00000000-0010-0000-0400-000004000000}" name="Days Left"/>
    <tableColumn id="5" xr3:uid="{00000000-0010-0000-0400-000005000000}" name="Subject"/>
    <tableColumn id="6" xr3:uid="{00000000-0010-0000-0400-000006000000}" name="Checkpoint"/>
    <tableColumn id="7" xr3:uid="{00000000-0010-0000-0400-000007000000}" name="Predictions"/>
    <tableColumn id="8" xr3:uid="{00000000-0010-0000-0400-000008000000}" name="Total Marks"/>
    <tableColumn id="9" xr3:uid="{00000000-0010-0000-0400-000009000000}" name="Actual Marks"/>
    <tableColumn id="10" xr3:uid="{00000000-0010-0000-0400-00000A000000}" name="Predicted Percentage"/>
    <tableColumn id="11" xr3:uid="{00000000-0010-0000-0400-00000B000000}" name="Actual Percentage"/>
    <tableColumn id="12" xr3:uid="{00000000-0010-0000-0400-00000C000000}" name="Board wise"/>
  </tableColumns>
  <tableStyleInfo name="Exam Track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Prelim_1" displayName="Prelim_1" ref="O4:AA12">
  <tableColumns count="13">
    <tableColumn id="1" xr3:uid="{00000000-0010-0000-0500-000001000000}" name="Day"/>
    <tableColumn id="2" xr3:uid="{00000000-0010-0000-0500-000002000000}" name="Date"/>
    <tableColumn id="3" xr3:uid="{00000000-0010-0000-0500-000003000000}" name="Days to Prepare"/>
    <tableColumn id="4" xr3:uid="{00000000-0010-0000-0500-000004000000}" name="Days Left"/>
    <tableColumn id="5" xr3:uid="{00000000-0010-0000-0500-000005000000}" name="Subject"/>
    <tableColumn id="6" xr3:uid="{00000000-0010-0000-0500-000006000000}" name="Checkpoint"/>
    <tableColumn id="7" xr3:uid="{00000000-0010-0000-0500-000007000000}" name="Predictions"/>
    <tableColumn id="8" xr3:uid="{00000000-0010-0000-0500-000008000000}" name="Total Marks"/>
    <tableColumn id="9" xr3:uid="{00000000-0010-0000-0500-000009000000}" name="Actual Marks"/>
    <tableColumn id="10" xr3:uid="{00000000-0010-0000-0500-00000A000000}" name="Predicted Percentage"/>
    <tableColumn id="11" xr3:uid="{00000000-0010-0000-0500-00000B000000}" name="Actual Percentage"/>
    <tableColumn id="12" xr3:uid="{00000000-0010-0000-0500-00000C000000}" name="Board wise"/>
    <tableColumn id="13" xr3:uid="{00000000-0010-0000-0500-00000D000000}" name="Boardwise Predicted"/>
  </tableColumns>
  <tableStyleInfo name="Exam Tracker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2" displayName="Table2" ref="AC4:AH8">
  <tableColumns count="6">
    <tableColumn id="1" xr3:uid="{00000000-0010-0000-0600-000001000000}" name="Date"/>
    <tableColumn id="2" xr3:uid="{00000000-0010-0000-0600-000002000000}" name="Day"/>
    <tableColumn id="3" xr3:uid="{00000000-0010-0000-0600-000003000000}" name="Subjects"/>
    <tableColumn id="4" xr3:uid="{00000000-0010-0000-0600-000004000000}" name="Time"/>
    <tableColumn id="5" xr3:uid="{00000000-0010-0000-0600-000005000000}" name="Column 1"/>
    <tableColumn id="6" xr3:uid="{00000000-0010-0000-0600-000006000000}" name="Source"/>
  </tableColumns>
  <tableStyleInfo name="Exam Tracker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UT_1" displayName="UT_1" ref="B31:M39">
  <tableColumns count="12">
    <tableColumn id="1" xr3:uid="{00000000-0010-0000-0700-000001000000}" name="Day"/>
    <tableColumn id="2" xr3:uid="{00000000-0010-0000-0700-000002000000}" name="Date"/>
    <tableColumn id="3" xr3:uid="{00000000-0010-0000-0700-000003000000}" name="Days to Prepare"/>
    <tableColumn id="4" xr3:uid="{00000000-0010-0000-0700-000004000000}" name="Days Left"/>
    <tableColumn id="5" xr3:uid="{00000000-0010-0000-0700-000005000000}" name="Subject"/>
    <tableColumn id="6" xr3:uid="{00000000-0010-0000-0700-000006000000}" name="Checkpoint"/>
    <tableColumn id="7" xr3:uid="{00000000-0010-0000-0700-000007000000}" name="Predictions"/>
    <tableColumn id="8" xr3:uid="{00000000-0010-0000-0700-000008000000}" name="Total Marks"/>
    <tableColumn id="9" xr3:uid="{00000000-0010-0000-0700-000009000000}" name="Actual Marks"/>
    <tableColumn id="10" xr3:uid="{00000000-0010-0000-0700-00000A000000}" name="Predicted Percentage"/>
    <tableColumn id="11" xr3:uid="{00000000-0010-0000-0700-00000B000000}" name="Actual Percentage"/>
    <tableColumn id="12" xr3:uid="{00000000-0010-0000-0700-00000C000000}" name="Board wise"/>
  </tableColumns>
  <tableStyleInfo name="Exam Tracker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Prelim_2" displayName="Prelim_2" ref="O31:AA36">
  <tableColumns count="13">
    <tableColumn id="1" xr3:uid="{00000000-0010-0000-0800-000001000000}" name="Day"/>
    <tableColumn id="2" xr3:uid="{00000000-0010-0000-0800-000002000000}" name="Date"/>
    <tableColumn id="3" xr3:uid="{00000000-0010-0000-0800-000003000000}" name="Days to Prepare"/>
    <tableColumn id="4" xr3:uid="{00000000-0010-0000-0800-000004000000}" name="Days Left"/>
    <tableColumn id="5" xr3:uid="{00000000-0010-0000-0800-000005000000}" name="Subject"/>
    <tableColumn id="6" xr3:uid="{00000000-0010-0000-0800-000006000000}" name="Checkpoint"/>
    <tableColumn id="7" xr3:uid="{00000000-0010-0000-0800-000007000000}" name="Predictions"/>
    <tableColumn id="8" xr3:uid="{00000000-0010-0000-0800-000008000000}" name="Total Marks"/>
    <tableColumn id="9" xr3:uid="{00000000-0010-0000-0800-000009000000}" name="Actual Marks"/>
    <tableColumn id="10" xr3:uid="{00000000-0010-0000-0800-00000A000000}" name="Predicted Percentage"/>
    <tableColumn id="11" xr3:uid="{00000000-0010-0000-0800-00000B000000}" name="Actual Percentage"/>
    <tableColumn id="12" xr3:uid="{00000000-0010-0000-0800-00000C000000}" name="Board wise"/>
    <tableColumn id="13" xr3:uid="{00000000-0010-0000-0800-00000D000000}" name="Boardwise Predicted"/>
  </tableColumns>
  <tableStyleInfo name="Exam Tracker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docs.google.com/document/u/0/d/1FAxpQZyAIBZCFu13c0ZtGwYjK6g_om2BWuPOKmg99mw/edi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ocs.google.com/document/u/0/d/1Xa1BXl5c-ezqRJYYfjpNaQK6xc1STQMejIYnz-Kqyz0/edit" TargetMode="External"/><Relationship Id="rId1" Type="http://schemas.openxmlformats.org/officeDocument/2006/relationships/hyperlink" Target="https://docs.google.com/document/u/0/d/1Kh-oEBGX7luCEI3N4EeyxXzNn-TUiAxteRS83PBXOdA/edit" TargetMode="External"/><Relationship Id="rId6" Type="http://schemas.openxmlformats.org/officeDocument/2006/relationships/hyperlink" Target="https://docs.google.com/document/u/0/d/1nFs-z_oSxdbU0Tglt22dAnWpzw3Hyh0_H1fHltgCbKI/edit" TargetMode="External"/><Relationship Id="rId5" Type="http://schemas.openxmlformats.org/officeDocument/2006/relationships/hyperlink" Target="https://docs.google.com/document/u/0/d/1pRwx4cwyKJfEHQnHRyl1huH9f3iWFB3ovFPK-gT9pi8/edit" TargetMode="External"/><Relationship Id="rId4" Type="http://schemas.openxmlformats.org/officeDocument/2006/relationships/hyperlink" Target="https://docs.google.com/document/u/0/d/1UawHoiuTSsZlz5_ZWsluXSyxCQecqChjYwLu4beJTMQ/edit" TargetMode="External"/><Relationship Id="rId9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docs.google.com/document/u/0/d/1UawHoiuTSsZlz5_ZWsluXSyxCQecqChjYwLu4beJTMQ/edit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docs.google.com/document/u/0/d/1pRwx4cwyKJfEHQnHRyl1huH9f3iWFB3ovFPK-gT9pi8/edit" TargetMode="External"/><Relationship Id="rId1" Type="http://schemas.openxmlformats.org/officeDocument/2006/relationships/hyperlink" Target="https://docs.google.com/document/u/0/d/1FAxpQZyAIBZCFu13c0ZtGwYjK6g_om2BWuPOKmg99mw/edit" TargetMode="External"/><Relationship Id="rId6" Type="http://schemas.openxmlformats.org/officeDocument/2006/relationships/table" Target="../tables/table3.xml"/><Relationship Id="rId5" Type="http://schemas.openxmlformats.org/officeDocument/2006/relationships/drawing" Target="../drawings/drawing2.xml"/><Relationship Id="rId10" Type="http://schemas.openxmlformats.org/officeDocument/2006/relationships/table" Target="../tables/table7.xml"/><Relationship Id="rId4" Type="http://schemas.openxmlformats.org/officeDocument/2006/relationships/hyperlink" Target="https://docs.google.com/document/u/0/d/1Xa1BXl5c-ezqRJYYfjpNaQK6xc1STQMejIYnz-Kqyz0/edit" TargetMode="Externa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9"/>
  <sheetViews>
    <sheetView workbookViewId="0"/>
  </sheetViews>
  <sheetFormatPr defaultColWidth="12.6640625" defaultRowHeight="15" customHeight="1" x14ac:dyDescent="0.3"/>
  <cols>
    <col min="1" max="1" width="5.25" customWidth="1"/>
    <col min="2" max="2" width="7.25" customWidth="1"/>
    <col min="5" max="5" width="9.5" customWidth="1"/>
    <col min="6" max="6" width="11.25" customWidth="1"/>
    <col min="7" max="7" width="16.25" customWidth="1"/>
    <col min="8" max="8" width="18.25" customWidth="1"/>
    <col min="9" max="9" width="16.6640625" customWidth="1"/>
    <col min="10" max="10" width="12.9140625" customWidth="1"/>
    <col min="11" max="11" width="13" customWidth="1"/>
    <col min="12" max="13" width="16.5" customWidth="1"/>
    <col min="14" max="14" width="15.1640625" customWidth="1"/>
    <col min="15" max="15" width="15.6640625" customWidth="1"/>
    <col min="16" max="16" width="15.4140625" customWidth="1"/>
    <col min="21" max="21" width="16.75" customWidth="1"/>
    <col min="22" max="22" width="18" customWidth="1"/>
    <col min="23" max="23" width="4.9140625" customWidth="1"/>
    <col min="24" max="24" width="32.5" customWidth="1"/>
  </cols>
  <sheetData>
    <row r="1" spans="1:30" ht="21.75" customHeight="1" x14ac:dyDescent="0.5">
      <c r="A1" s="27"/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21.75" customHeight="1" x14ac:dyDescent="0.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21.75" customHeight="1" x14ac:dyDescent="0.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44.25" customHeight="1" x14ac:dyDescent="0.5">
      <c r="A4" s="28"/>
      <c r="B4" s="28"/>
      <c r="C4" s="31" t="s">
        <v>0</v>
      </c>
      <c r="D4" s="31" t="s">
        <v>1</v>
      </c>
      <c r="E4" s="32" t="s">
        <v>2</v>
      </c>
      <c r="F4" s="33" t="s">
        <v>3</v>
      </c>
      <c r="G4" s="31" t="s">
        <v>4</v>
      </c>
      <c r="H4" s="31" t="s">
        <v>49</v>
      </c>
      <c r="I4" s="31" t="s">
        <v>6</v>
      </c>
      <c r="J4" s="31" t="s">
        <v>7</v>
      </c>
      <c r="K4" s="31" t="s">
        <v>8</v>
      </c>
      <c r="L4" s="31" t="s">
        <v>9</v>
      </c>
      <c r="M4" s="31" t="s">
        <v>10</v>
      </c>
      <c r="N4" s="34" t="s">
        <v>41</v>
      </c>
      <c r="O4" s="34" t="s">
        <v>42</v>
      </c>
      <c r="P4" s="34" t="s">
        <v>43</v>
      </c>
      <c r="Q4" s="28"/>
      <c r="R4" s="34" t="s">
        <v>1</v>
      </c>
      <c r="S4" s="34" t="s">
        <v>0</v>
      </c>
      <c r="T4" s="35" t="s">
        <v>44</v>
      </c>
      <c r="U4" s="34" t="s">
        <v>13</v>
      </c>
      <c r="V4" s="34" t="s">
        <v>14</v>
      </c>
      <c r="W4" s="36" t="s">
        <v>45</v>
      </c>
      <c r="X4" s="34" t="s">
        <v>16</v>
      </c>
      <c r="Y4" s="28"/>
      <c r="Z4" s="28"/>
      <c r="AA4" s="28"/>
      <c r="AB4" s="28"/>
      <c r="AC4" s="28"/>
      <c r="AD4" s="28"/>
    </row>
    <row r="5" spans="1:30" ht="21.75" customHeight="1" x14ac:dyDescent="0.5">
      <c r="A5" s="28"/>
      <c r="B5" s="28"/>
      <c r="C5" s="37" t="s">
        <v>38</v>
      </c>
      <c r="D5" s="38">
        <v>46077</v>
      </c>
      <c r="E5" s="39" t="s">
        <v>22</v>
      </c>
      <c r="F5" s="39" t="str">
        <f t="shared" ref="F5:F10" ca="1" si="0">IF(D5 - TODAY() &gt; 0, (D5 - TODAY()), "Expired")</f>
        <v>Expired</v>
      </c>
      <c r="G5" s="37" t="s">
        <v>26</v>
      </c>
      <c r="H5" s="40" t="b">
        <v>1</v>
      </c>
      <c r="I5" s="39">
        <v>63</v>
      </c>
      <c r="J5" s="39">
        <v>80</v>
      </c>
      <c r="K5" s="39">
        <v>68</v>
      </c>
      <c r="L5" s="41">
        <f t="shared" ref="L5:L10" si="1">I5/J5</f>
        <v>0.78749999999999998</v>
      </c>
      <c r="M5" s="41">
        <f t="shared" ref="M5:M10" si="2">(K5/J5)</f>
        <v>0.85</v>
      </c>
      <c r="N5" s="39">
        <v>20</v>
      </c>
      <c r="O5" s="41">
        <f t="shared" ref="O5:O10" si="3">(I5+N5)/100</f>
        <v>0.83</v>
      </c>
      <c r="P5" s="41">
        <f t="shared" ref="P5:P10" si="4">(K5+N5)/100</f>
        <v>0.88</v>
      </c>
      <c r="Q5" s="28"/>
      <c r="R5" s="42">
        <v>46028</v>
      </c>
      <c r="S5" s="43" t="s">
        <v>38</v>
      </c>
      <c r="T5" s="43" t="str">
        <f t="shared" ref="T5:T10" ca="1" si="5">IF(R5 - TODAY() &gt; 0, (R5 - TODAY()) &amp; " days left", "Expired")</f>
        <v>Expired</v>
      </c>
      <c r="U5" s="43" t="s">
        <v>28</v>
      </c>
      <c r="V5" s="44" t="s">
        <v>46</v>
      </c>
      <c r="W5" s="40" t="b">
        <v>1</v>
      </c>
      <c r="X5" s="45" t="s">
        <v>47</v>
      </c>
      <c r="Y5" s="28"/>
      <c r="Z5" s="28"/>
      <c r="AA5" s="28"/>
      <c r="AB5" s="28"/>
      <c r="AC5" s="28"/>
      <c r="AD5" s="28"/>
    </row>
    <row r="6" spans="1:30" ht="21.75" customHeight="1" x14ac:dyDescent="0.5">
      <c r="A6" s="28"/>
      <c r="B6" s="28"/>
      <c r="C6" s="37" t="s">
        <v>17</v>
      </c>
      <c r="D6" s="38">
        <v>46090</v>
      </c>
      <c r="E6" s="39">
        <v>12</v>
      </c>
      <c r="F6" s="39" t="str">
        <f t="shared" ca="1" si="0"/>
        <v>Expired</v>
      </c>
      <c r="G6" s="37" t="s">
        <v>28</v>
      </c>
      <c r="H6" s="40" t="b">
        <v>1</v>
      </c>
      <c r="I6" s="39">
        <v>68</v>
      </c>
      <c r="J6" s="39">
        <v>80</v>
      </c>
      <c r="K6" s="39">
        <v>75</v>
      </c>
      <c r="L6" s="41">
        <f t="shared" si="1"/>
        <v>0.85</v>
      </c>
      <c r="M6" s="41">
        <f t="shared" si="2"/>
        <v>0.9375</v>
      </c>
      <c r="N6" s="39">
        <v>20</v>
      </c>
      <c r="O6" s="41">
        <f t="shared" si="3"/>
        <v>0.88</v>
      </c>
      <c r="P6" s="41">
        <f t="shared" si="4"/>
        <v>0.95</v>
      </c>
      <c r="Q6" s="28"/>
      <c r="R6" s="42">
        <v>46034</v>
      </c>
      <c r="S6" s="43" t="s">
        <v>17</v>
      </c>
      <c r="T6" s="43" t="str">
        <f t="shared" ca="1" si="5"/>
        <v>Expired</v>
      </c>
      <c r="U6" s="43" t="s">
        <v>23</v>
      </c>
      <c r="V6" s="44" t="s">
        <v>46</v>
      </c>
      <c r="W6" s="40" t="b">
        <v>1</v>
      </c>
      <c r="X6" s="46" t="s">
        <v>34</v>
      </c>
      <c r="Y6" s="28"/>
      <c r="Z6" s="28"/>
      <c r="AA6" s="28"/>
      <c r="AB6" s="28"/>
      <c r="AC6" s="28"/>
      <c r="AD6" s="28"/>
    </row>
    <row r="7" spans="1:30" ht="21.75" customHeight="1" x14ac:dyDescent="0.5">
      <c r="A7" s="28"/>
      <c r="B7" s="28"/>
      <c r="C7" s="37" t="s">
        <v>29</v>
      </c>
      <c r="D7" s="38">
        <v>46093</v>
      </c>
      <c r="E7" s="39">
        <v>2</v>
      </c>
      <c r="F7" s="39" t="str">
        <f t="shared" ca="1" si="0"/>
        <v>Expired</v>
      </c>
      <c r="G7" s="37" t="s">
        <v>25</v>
      </c>
      <c r="H7" s="40" t="b">
        <v>1</v>
      </c>
      <c r="I7" s="39">
        <v>73</v>
      </c>
      <c r="J7" s="39">
        <v>80</v>
      </c>
      <c r="K7" s="39">
        <v>73</v>
      </c>
      <c r="L7" s="41">
        <f t="shared" si="1"/>
        <v>0.91249999999999998</v>
      </c>
      <c r="M7" s="41">
        <f t="shared" si="2"/>
        <v>0.91249999999999998</v>
      </c>
      <c r="N7" s="39">
        <v>20</v>
      </c>
      <c r="O7" s="41">
        <f t="shared" si="3"/>
        <v>0.93</v>
      </c>
      <c r="P7" s="41">
        <f t="shared" si="4"/>
        <v>0.93</v>
      </c>
      <c r="Q7" s="28"/>
      <c r="R7" s="42">
        <v>46038</v>
      </c>
      <c r="S7" s="43" t="s">
        <v>21</v>
      </c>
      <c r="T7" s="43" t="str">
        <f t="shared" ca="1" si="5"/>
        <v>Expired</v>
      </c>
      <c r="U7" s="43" t="s">
        <v>18</v>
      </c>
      <c r="V7" s="44" t="s">
        <v>46</v>
      </c>
      <c r="W7" s="40" t="b">
        <v>1</v>
      </c>
      <c r="X7" s="46" t="s">
        <v>20</v>
      </c>
      <c r="Y7" s="28"/>
      <c r="Z7" s="28"/>
      <c r="AA7" s="28"/>
      <c r="AB7" s="28"/>
      <c r="AC7" s="28"/>
      <c r="AD7" s="28"/>
    </row>
    <row r="8" spans="1:30" ht="21.75" customHeight="1" x14ac:dyDescent="0.5">
      <c r="A8" s="28"/>
      <c r="B8" s="28"/>
      <c r="C8" s="37" t="s">
        <v>24</v>
      </c>
      <c r="D8" s="38">
        <v>46099</v>
      </c>
      <c r="E8" s="39">
        <v>5</v>
      </c>
      <c r="F8" s="39" t="str">
        <f t="shared" ca="1" si="0"/>
        <v>Expired</v>
      </c>
      <c r="G8" s="37" t="s">
        <v>18</v>
      </c>
      <c r="H8" s="40" t="b">
        <v>1</v>
      </c>
      <c r="I8" s="39">
        <v>65</v>
      </c>
      <c r="J8" s="39">
        <v>80</v>
      </c>
      <c r="K8" s="39">
        <v>71</v>
      </c>
      <c r="L8" s="41">
        <f t="shared" si="1"/>
        <v>0.8125</v>
      </c>
      <c r="M8" s="41">
        <f t="shared" si="2"/>
        <v>0.88749999999999996</v>
      </c>
      <c r="N8" s="39">
        <v>20</v>
      </c>
      <c r="O8" s="41">
        <f t="shared" si="3"/>
        <v>0.85</v>
      </c>
      <c r="P8" s="41">
        <f t="shared" si="4"/>
        <v>0.91</v>
      </c>
      <c r="Q8" s="28"/>
      <c r="R8" s="42">
        <v>46044</v>
      </c>
      <c r="S8" s="43" t="s">
        <v>29</v>
      </c>
      <c r="T8" s="43" t="str">
        <f t="shared" ca="1" si="5"/>
        <v>Expired</v>
      </c>
      <c r="U8" s="43" t="s">
        <v>30</v>
      </c>
      <c r="V8" s="44" t="s">
        <v>46</v>
      </c>
      <c r="W8" s="40" t="b">
        <v>1</v>
      </c>
      <c r="X8" s="46" t="s">
        <v>31</v>
      </c>
      <c r="Y8" s="28"/>
      <c r="Z8" s="28"/>
      <c r="AA8" s="28"/>
      <c r="AB8" s="28"/>
      <c r="AC8" s="28"/>
      <c r="AD8" s="28"/>
    </row>
    <row r="9" spans="1:30" ht="21.75" customHeight="1" x14ac:dyDescent="0.5">
      <c r="A9" s="28"/>
      <c r="B9" s="28"/>
      <c r="C9" s="37" t="s">
        <v>38</v>
      </c>
      <c r="D9" s="38">
        <v>46105</v>
      </c>
      <c r="E9" s="39">
        <v>5</v>
      </c>
      <c r="F9" s="39" t="str">
        <f t="shared" ca="1" si="0"/>
        <v>Expired</v>
      </c>
      <c r="G9" s="37" t="s">
        <v>23</v>
      </c>
      <c r="H9" s="40" t="b">
        <v>1</v>
      </c>
      <c r="I9" s="39">
        <v>48</v>
      </c>
      <c r="J9" s="39">
        <v>50</v>
      </c>
      <c r="K9" s="39">
        <v>50</v>
      </c>
      <c r="L9" s="41">
        <f t="shared" si="1"/>
        <v>0.96</v>
      </c>
      <c r="M9" s="41">
        <f t="shared" si="2"/>
        <v>1</v>
      </c>
      <c r="N9" s="39">
        <v>50</v>
      </c>
      <c r="O9" s="41">
        <f t="shared" si="3"/>
        <v>0.98</v>
      </c>
      <c r="P9" s="41">
        <f t="shared" si="4"/>
        <v>1</v>
      </c>
      <c r="Q9" s="28"/>
      <c r="R9" s="42">
        <v>46049</v>
      </c>
      <c r="S9" s="43" t="s">
        <v>21</v>
      </c>
      <c r="T9" s="43" t="str">
        <f t="shared" ca="1" si="5"/>
        <v>Expired</v>
      </c>
      <c r="U9" s="43" t="s">
        <v>26</v>
      </c>
      <c r="V9" s="44" t="s">
        <v>46</v>
      </c>
      <c r="W9" s="40" t="b">
        <v>1</v>
      </c>
      <c r="X9" s="46" t="s">
        <v>27</v>
      </c>
      <c r="Y9" s="28"/>
      <c r="Z9" s="28"/>
      <c r="AA9" s="28"/>
      <c r="AB9" s="28"/>
      <c r="AC9" s="28"/>
      <c r="AD9" s="28"/>
    </row>
    <row r="10" spans="1:30" ht="21.75" customHeight="1" x14ac:dyDescent="0.5">
      <c r="A10" s="28"/>
      <c r="B10" s="28"/>
      <c r="C10" s="37" t="s">
        <v>32</v>
      </c>
      <c r="D10" s="38">
        <v>46109</v>
      </c>
      <c r="E10" s="39">
        <v>3</v>
      </c>
      <c r="F10" s="39" t="str">
        <f t="shared" ca="1" si="0"/>
        <v>Expired</v>
      </c>
      <c r="G10" s="37" t="s">
        <v>30</v>
      </c>
      <c r="H10" s="40" t="b">
        <v>0</v>
      </c>
      <c r="I10" s="39">
        <v>66</v>
      </c>
      <c r="J10" s="39">
        <v>80</v>
      </c>
      <c r="K10" s="39">
        <v>64</v>
      </c>
      <c r="L10" s="41">
        <f t="shared" si="1"/>
        <v>0.82499999999999996</v>
      </c>
      <c r="M10" s="41">
        <f t="shared" si="2"/>
        <v>0.8</v>
      </c>
      <c r="N10" s="39">
        <v>20</v>
      </c>
      <c r="O10" s="41">
        <f t="shared" si="3"/>
        <v>0.86</v>
      </c>
      <c r="P10" s="41">
        <f t="shared" si="4"/>
        <v>0.84</v>
      </c>
      <c r="Q10" s="28"/>
      <c r="R10" s="42">
        <v>46055</v>
      </c>
      <c r="S10" s="43" t="s">
        <v>17</v>
      </c>
      <c r="T10" s="43" t="str">
        <f t="shared" ca="1" si="5"/>
        <v>Expired</v>
      </c>
      <c r="U10" s="43" t="s">
        <v>25</v>
      </c>
      <c r="V10" s="44" t="s">
        <v>46</v>
      </c>
      <c r="W10" s="40" t="b">
        <v>1</v>
      </c>
      <c r="X10" s="46" t="s">
        <v>48</v>
      </c>
      <c r="Y10" s="28"/>
      <c r="Z10" s="28"/>
      <c r="AA10" s="28"/>
      <c r="AB10" s="28"/>
      <c r="AC10" s="28"/>
      <c r="AD10" s="28"/>
    </row>
    <row r="11" spans="1:30" ht="21.75" customHeight="1" x14ac:dyDescent="0.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1.75" customHeight="1" x14ac:dyDescent="0.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M12" s="55"/>
      <c r="N12" s="56"/>
      <c r="O12" s="47" t="s">
        <v>39</v>
      </c>
      <c r="P12" s="47" t="s">
        <v>40</v>
      </c>
      <c r="Q12" s="28"/>
      <c r="R12" s="28"/>
      <c r="S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21.75" customHeight="1" x14ac:dyDescent="0.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M13" s="57" t="s">
        <v>35</v>
      </c>
      <c r="N13" s="56"/>
      <c r="O13" s="48">
        <f>AVERAGE(Theory_Exam[Actual Percentage])</f>
        <v>0.8979166666666667</v>
      </c>
      <c r="P13" s="48">
        <f>AVERAGE(L5:L10)</f>
        <v>0.85791666666666666</v>
      </c>
      <c r="Q13" s="49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21.75" customHeight="1" x14ac:dyDescent="0.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M14" s="57" t="s">
        <v>50</v>
      </c>
      <c r="N14" s="56"/>
      <c r="O14" s="48">
        <f>AVERAGE(Theory_Exam[Actual BW])</f>
        <v>0.91833333333333333</v>
      </c>
      <c r="P14" s="48">
        <f>(O5+O6+O7+O8+O9+O10)/600</f>
        <v>8.8833333333333351E-3</v>
      </c>
      <c r="Q14" s="49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21.75" customHeight="1" x14ac:dyDescent="0.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M15" s="57" t="s">
        <v>36</v>
      </c>
      <c r="N15" s="56"/>
      <c r="O15" s="50">
        <f>AVERAGE(M5,M6,M7,M8,M9)</f>
        <v>0.91750000000000009</v>
      </c>
      <c r="P15" s="50">
        <f>(L5+L7+L8+L9+L10)/5</f>
        <v>0.85950000000000004</v>
      </c>
      <c r="Q15" s="49"/>
      <c r="R15" s="39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1.75" customHeight="1" x14ac:dyDescent="0.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M16" s="57" t="s">
        <v>37</v>
      </c>
      <c r="N16" s="56"/>
      <c r="O16" s="51">
        <f>((P5+P7+P8+P9+P6)/5)*100</f>
        <v>93.399999999999991</v>
      </c>
      <c r="P16" s="52">
        <f>(O6+O7+O8+O9+O10)*100/5</f>
        <v>90</v>
      </c>
      <c r="Q16" s="53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21.75" customHeight="1" x14ac:dyDescent="0.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M17" s="57" t="s">
        <v>51</v>
      </c>
      <c r="N17" s="56"/>
      <c r="O17" s="54">
        <f>((P6+P7+P8+P5)/4)*100</f>
        <v>91.75</v>
      </c>
      <c r="P17" s="54">
        <f>(O6+O7+O8+O10)*100/4</f>
        <v>88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21.75" customHeight="1" x14ac:dyDescent="0.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21.75" customHeight="1" x14ac:dyDescent="0.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21.75" customHeight="1" x14ac:dyDescent="0.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21.75" customHeight="1" x14ac:dyDescent="0.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21.75" customHeight="1" x14ac:dyDescent="0.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21.75" customHeight="1" x14ac:dyDescent="0.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21.75" customHeight="1" x14ac:dyDescent="0.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21.75" customHeight="1" x14ac:dyDescent="0.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21.75" customHeight="1" x14ac:dyDescent="0.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21.75" customHeight="1" x14ac:dyDescent="0.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21.75" customHeight="1" x14ac:dyDescent="0.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21.75" customHeight="1" x14ac:dyDescent="0.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21.75" customHeight="1" x14ac:dyDescent="0.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21.75" customHeight="1" x14ac:dyDescent="0.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21.75" customHeight="1" x14ac:dyDescent="0.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21.75" customHeight="1" x14ac:dyDescent="0.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21.75" customHeight="1" x14ac:dyDescent="0.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21.75" customHeight="1" x14ac:dyDescent="0.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21.75" customHeight="1" x14ac:dyDescent="0.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21.75" customHeight="1" x14ac:dyDescent="0.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21.75" customHeight="1" x14ac:dyDescent="0.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21.75" customHeight="1" x14ac:dyDescent="0.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21.75" customHeight="1" x14ac:dyDescent="0.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21.75" customHeight="1" x14ac:dyDescent="0.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21.75" customHeight="1" x14ac:dyDescent="0.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21.75" customHeight="1" x14ac:dyDescent="0.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21.75" customHeight="1" x14ac:dyDescent="0.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21.75" customHeight="1" x14ac:dyDescent="0.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21.75" customHeight="1" x14ac:dyDescent="0.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21.75" customHeight="1" x14ac:dyDescent="0.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21.75" customHeight="1" x14ac:dyDescent="0.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21.75" customHeight="1" x14ac:dyDescent="0.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21.75" customHeight="1" x14ac:dyDescent="0.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21.75" customHeight="1" x14ac:dyDescent="0.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21.75" customHeight="1" x14ac:dyDescent="0.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21.75" customHeight="1" x14ac:dyDescent="0.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21.75" customHeight="1" x14ac:dyDescent="0.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21.75" customHeight="1" x14ac:dyDescent="0.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21.75" customHeight="1" x14ac:dyDescent="0.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21.75" customHeight="1" x14ac:dyDescent="0.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21.75" customHeight="1" x14ac:dyDescent="0.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21.75" customHeight="1" x14ac:dyDescent="0.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21.75" customHeight="1" x14ac:dyDescent="0.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21.75" customHeight="1" x14ac:dyDescent="0.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21.75" customHeight="1" x14ac:dyDescent="0.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21.75" customHeight="1" x14ac:dyDescent="0.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21.75" customHeight="1" x14ac:dyDescent="0.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21.75" customHeight="1" x14ac:dyDescent="0.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21.75" customHeight="1" x14ac:dyDescent="0.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21.75" customHeight="1" x14ac:dyDescent="0.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21.75" customHeight="1" x14ac:dyDescent="0.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21.75" customHeight="1" x14ac:dyDescent="0.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21.75" customHeight="1" x14ac:dyDescent="0.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21.75" customHeight="1" x14ac:dyDescent="0.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21.75" customHeight="1" x14ac:dyDescent="0.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21.75" customHeight="1" x14ac:dyDescent="0.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21.75" customHeight="1" x14ac:dyDescent="0.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21.75" customHeight="1" x14ac:dyDescent="0.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21.75" customHeight="1" x14ac:dyDescent="0.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21.75" customHeight="1" x14ac:dyDescent="0.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1.75" customHeight="1" x14ac:dyDescent="0.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21.75" customHeight="1" x14ac:dyDescent="0.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21.75" customHeight="1" x14ac:dyDescent="0.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21.75" customHeight="1" x14ac:dyDescent="0.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21.75" customHeight="1" x14ac:dyDescent="0.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21.75" customHeight="1" x14ac:dyDescent="0.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21.75" customHeight="1" x14ac:dyDescent="0.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21.75" customHeight="1" x14ac:dyDescent="0.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21.75" customHeight="1" x14ac:dyDescent="0.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21.75" customHeight="1" x14ac:dyDescent="0.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21.75" customHeight="1" x14ac:dyDescent="0.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21.75" customHeight="1" x14ac:dyDescent="0.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21.75" customHeight="1" x14ac:dyDescent="0.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21.75" customHeight="1" x14ac:dyDescent="0.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21.75" customHeight="1" x14ac:dyDescent="0.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21.75" customHeight="1" x14ac:dyDescent="0.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21.75" customHeight="1" x14ac:dyDescent="0.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21.75" customHeight="1" x14ac:dyDescent="0.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21.75" customHeight="1" x14ac:dyDescent="0.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21.75" customHeight="1" x14ac:dyDescent="0.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21.75" customHeight="1" x14ac:dyDescent="0.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21.75" customHeight="1" x14ac:dyDescent="0.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21.75" customHeight="1" x14ac:dyDescent="0.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21.75" customHeight="1" x14ac:dyDescent="0.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21.75" customHeight="1" x14ac:dyDescent="0.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21.75" customHeight="1" x14ac:dyDescent="0.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21.75" customHeight="1" x14ac:dyDescent="0.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21.75" customHeight="1" x14ac:dyDescent="0.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21.75" customHeight="1" x14ac:dyDescent="0.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21.75" customHeight="1" x14ac:dyDescent="0.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21.75" customHeight="1" x14ac:dyDescent="0.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21.75" customHeight="1" x14ac:dyDescent="0.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21.75" customHeight="1" x14ac:dyDescent="0.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21.75" customHeight="1" x14ac:dyDescent="0.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21.75" customHeight="1" x14ac:dyDescent="0.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21.75" customHeight="1" x14ac:dyDescent="0.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21.75" customHeight="1" x14ac:dyDescent="0.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21.75" customHeight="1" x14ac:dyDescent="0.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21.75" customHeight="1" x14ac:dyDescent="0.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21.75" customHeight="1" x14ac:dyDescent="0.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21.75" customHeight="1" x14ac:dyDescent="0.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21.75" customHeight="1" x14ac:dyDescent="0.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21.75" customHeight="1" x14ac:dyDescent="0.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21.75" customHeight="1" x14ac:dyDescent="0.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21.75" customHeight="1" x14ac:dyDescent="0.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21.75" customHeight="1" x14ac:dyDescent="0.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21.75" customHeight="1" x14ac:dyDescent="0.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21.75" customHeight="1" x14ac:dyDescent="0.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21.75" customHeight="1" x14ac:dyDescent="0.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21.75" customHeight="1" x14ac:dyDescent="0.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21.75" customHeight="1" x14ac:dyDescent="0.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21.75" customHeight="1" x14ac:dyDescent="0.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21.75" customHeight="1" x14ac:dyDescent="0.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21.75" customHeight="1" x14ac:dyDescent="0.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21.75" customHeight="1" x14ac:dyDescent="0.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21.75" customHeight="1" x14ac:dyDescent="0.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21.75" customHeight="1" x14ac:dyDescent="0.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21.75" customHeight="1" x14ac:dyDescent="0.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21.75" customHeight="1" x14ac:dyDescent="0.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21.75" customHeight="1" x14ac:dyDescent="0.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21.75" customHeight="1" x14ac:dyDescent="0.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21.75" customHeight="1" x14ac:dyDescent="0.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21.75" customHeight="1" x14ac:dyDescent="0.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21.75" customHeight="1" x14ac:dyDescent="0.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spans="1:30" ht="21.75" customHeight="1" x14ac:dyDescent="0.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spans="1:30" ht="21.75" customHeight="1" x14ac:dyDescent="0.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spans="1:30" ht="21.75" customHeight="1" x14ac:dyDescent="0.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spans="1:30" ht="21.75" customHeight="1" x14ac:dyDescent="0.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spans="1:30" ht="21.75" customHeight="1" x14ac:dyDescent="0.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spans="1:30" ht="21.75" customHeight="1" x14ac:dyDescent="0.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spans="1:30" ht="21.75" customHeight="1" x14ac:dyDescent="0.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spans="1:30" ht="21.75" customHeight="1" x14ac:dyDescent="0.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spans="1:30" ht="21.75" customHeight="1" x14ac:dyDescent="0.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 ht="21.75" customHeight="1" x14ac:dyDescent="0.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 ht="21.75" customHeight="1" x14ac:dyDescent="0.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 ht="21.75" customHeight="1" x14ac:dyDescent="0.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 ht="21.75" customHeight="1" x14ac:dyDescent="0.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 ht="21.75" customHeight="1" x14ac:dyDescent="0.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 ht="21.75" customHeight="1" x14ac:dyDescent="0.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 ht="21.75" customHeight="1" x14ac:dyDescent="0.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 ht="21.75" customHeight="1" x14ac:dyDescent="0.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 ht="21.75" customHeight="1" x14ac:dyDescent="0.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 ht="21.75" customHeight="1" x14ac:dyDescent="0.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 ht="21.75" customHeight="1" x14ac:dyDescent="0.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 ht="21.75" customHeight="1" x14ac:dyDescent="0.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 ht="21.75" customHeight="1" x14ac:dyDescent="0.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 ht="21.75" customHeight="1" x14ac:dyDescent="0.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 ht="21.75" customHeight="1" x14ac:dyDescent="0.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 ht="21.75" customHeight="1" x14ac:dyDescent="0.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 ht="21.75" customHeight="1" x14ac:dyDescent="0.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 ht="21.75" customHeight="1" x14ac:dyDescent="0.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 ht="21.75" customHeight="1" x14ac:dyDescent="0.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 ht="21.75" customHeight="1" x14ac:dyDescent="0.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 ht="21.75" customHeight="1" x14ac:dyDescent="0.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 ht="21.75" customHeight="1" x14ac:dyDescent="0.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 ht="21.75" customHeight="1" x14ac:dyDescent="0.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 ht="21.75" customHeight="1" x14ac:dyDescent="0.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 ht="21.75" customHeight="1" x14ac:dyDescent="0.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 ht="21.75" customHeight="1" x14ac:dyDescent="0.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 ht="21.75" customHeight="1" x14ac:dyDescent="0.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 ht="21.75" customHeight="1" x14ac:dyDescent="0.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 ht="21.75" customHeight="1" x14ac:dyDescent="0.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 ht="21.75" customHeight="1" x14ac:dyDescent="0.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 ht="21.75" customHeight="1" x14ac:dyDescent="0.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 ht="21.75" customHeight="1" x14ac:dyDescent="0.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 ht="21.75" customHeight="1" x14ac:dyDescent="0.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 ht="21.75" customHeight="1" x14ac:dyDescent="0.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 ht="21.75" customHeight="1" x14ac:dyDescent="0.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 ht="21.75" customHeight="1" x14ac:dyDescent="0.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 ht="21.75" customHeight="1" x14ac:dyDescent="0.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 ht="21.75" customHeight="1" x14ac:dyDescent="0.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 ht="21.75" customHeight="1" x14ac:dyDescent="0.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 ht="21.75" customHeight="1" x14ac:dyDescent="0.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 ht="21.75" customHeight="1" x14ac:dyDescent="0.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 ht="21.75" customHeight="1" x14ac:dyDescent="0.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 ht="21.75" customHeight="1" x14ac:dyDescent="0.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 ht="21.75" customHeight="1" x14ac:dyDescent="0.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 ht="21.75" customHeight="1" x14ac:dyDescent="0.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 ht="21.75" customHeight="1" x14ac:dyDescent="0.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spans="1:30" ht="21.75" customHeight="1" x14ac:dyDescent="0.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spans="1:30" ht="21.75" customHeight="1" x14ac:dyDescent="0.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spans="1:30" ht="21.75" customHeight="1" x14ac:dyDescent="0.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 spans="1:30" ht="21.75" customHeight="1" x14ac:dyDescent="0.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 spans="1:30" ht="21.75" customHeight="1" x14ac:dyDescent="0.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 spans="1:30" ht="21.75" customHeight="1" x14ac:dyDescent="0.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 spans="1:30" ht="21.75" customHeight="1" x14ac:dyDescent="0.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 spans="1:30" ht="21.75" customHeight="1" x14ac:dyDescent="0.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 spans="1:30" ht="21.75" customHeight="1" x14ac:dyDescent="0.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 spans="1:30" ht="21.75" customHeight="1" x14ac:dyDescent="0.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 spans="1:30" ht="21.75" customHeight="1" x14ac:dyDescent="0.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 spans="1:30" ht="21.75" customHeight="1" x14ac:dyDescent="0.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 spans="1:30" ht="21.75" customHeight="1" x14ac:dyDescent="0.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 spans="1:30" ht="21.75" customHeight="1" x14ac:dyDescent="0.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 spans="1:30" ht="21.75" customHeight="1" x14ac:dyDescent="0.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 spans="1:30" ht="21.75" customHeight="1" x14ac:dyDescent="0.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 spans="1:30" ht="21.75" customHeight="1" x14ac:dyDescent="0.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 spans="1:30" ht="21.75" customHeight="1" x14ac:dyDescent="0.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 spans="1:30" ht="21.75" customHeight="1" x14ac:dyDescent="0.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 spans="1:30" ht="21.75" customHeight="1" x14ac:dyDescent="0.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 spans="1:30" ht="21.75" customHeight="1" x14ac:dyDescent="0.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 spans="1:30" ht="21.75" customHeight="1" x14ac:dyDescent="0.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 spans="1:30" ht="21.75" customHeight="1" x14ac:dyDescent="0.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 spans="1:30" ht="21.75" customHeight="1" x14ac:dyDescent="0.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spans="1:30" ht="21.75" customHeight="1" x14ac:dyDescent="0.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21.75" customHeight="1" x14ac:dyDescent="0.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21.75" customHeight="1" x14ac:dyDescent="0.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21.75" customHeight="1" x14ac:dyDescent="0.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21.75" customHeight="1" x14ac:dyDescent="0.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21.75" customHeight="1" x14ac:dyDescent="0.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21.75" customHeight="1" x14ac:dyDescent="0.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21.75" customHeight="1" x14ac:dyDescent="0.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21.75" customHeight="1" x14ac:dyDescent="0.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21.75" customHeight="1" x14ac:dyDescent="0.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21.75" customHeight="1" x14ac:dyDescent="0.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21.75" customHeight="1" x14ac:dyDescent="0.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21.75" customHeight="1" x14ac:dyDescent="0.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21.75" customHeight="1" x14ac:dyDescent="0.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21.75" customHeight="1" x14ac:dyDescent="0.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21.75" customHeight="1" x14ac:dyDescent="0.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21.75" customHeight="1" x14ac:dyDescent="0.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21.75" customHeight="1" x14ac:dyDescent="0.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21.75" customHeight="1" x14ac:dyDescent="0.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21.75" customHeight="1" x14ac:dyDescent="0.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21.75" customHeight="1" x14ac:dyDescent="0.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21.75" customHeight="1" x14ac:dyDescent="0.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21.75" customHeight="1" x14ac:dyDescent="0.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21.75" customHeight="1" x14ac:dyDescent="0.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21.75" customHeight="1" x14ac:dyDescent="0.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21.75" customHeight="1" x14ac:dyDescent="0.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21.75" customHeight="1" x14ac:dyDescent="0.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21.75" customHeight="1" x14ac:dyDescent="0.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21.75" customHeight="1" x14ac:dyDescent="0.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21.75" customHeight="1" x14ac:dyDescent="0.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21.75" customHeight="1" x14ac:dyDescent="0.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21.75" customHeight="1" x14ac:dyDescent="0.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21.75" customHeight="1" x14ac:dyDescent="0.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21.75" customHeight="1" x14ac:dyDescent="0.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21.75" customHeight="1" x14ac:dyDescent="0.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21.75" customHeight="1" x14ac:dyDescent="0.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21.75" customHeight="1" x14ac:dyDescent="0.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21.75" customHeight="1" x14ac:dyDescent="0.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21.75" customHeight="1" x14ac:dyDescent="0.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21.75" customHeight="1" x14ac:dyDescent="0.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21.75" customHeight="1" x14ac:dyDescent="0.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21.75" customHeight="1" x14ac:dyDescent="0.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21.75" customHeight="1" x14ac:dyDescent="0.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21.75" customHeight="1" x14ac:dyDescent="0.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21.75" customHeight="1" x14ac:dyDescent="0.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21.75" customHeight="1" x14ac:dyDescent="0.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21.75" customHeight="1" x14ac:dyDescent="0.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21.75" customHeight="1" x14ac:dyDescent="0.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21.75" customHeight="1" x14ac:dyDescent="0.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21.75" customHeight="1" x14ac:dyDescent="0.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21.75" customHeight="1" x14ac:dyDescent="0.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21.75" customHeight="1" x14ac:dyDescent="0.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21.75" customHeight="1" x14ac:dyDescent="0.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21.75" customHeight="1" x14ac:dyDescent="0.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21.75" customHeight="1" x14ac:dyDescent="0.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21.75" customHeight="1" x14ac:dyDescent="0.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21.75" customHeight="1" x14ac:dyDescent="0.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21.75" customHeight="1" x14ac:dyDescent="0.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21.75" customHeight="1" x14ac:dyDescent="0.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21.75" customHeight="1" x14ac:dyDescent="0.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21.75" customHeight="1" x14ac:dyDescent="0.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21.75" customHeight="1" x14ac:dyDescent="0.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21.75" customHeight="1" x14ac:dyDescent="0.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21.75" customHeight="1" x14ac:dyDescent="0.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21.75" customHeight="1" x14ac:dyDescent="0.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21.75" customHeight="1" x14ac:dyDescent="0.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21.75" customHeight="1" x14ac:dyDescent="0.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21.75" customHeight="1" x14ac:dyDescent="0.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21.75" customHeight="1" x14ac:dyDescent="0.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21.75" customHeight="1" x14ac:dyDescent="0.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21.75" customHeight="1" x14ac:dyDescent="0.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21.75" customHeight="1" x14ac:dyDescent="0.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21.75" customHeight="1" x14ac:dyDescent="0.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21.75" customHeight="1" x14ac:dyDescent="0.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21.75" customHeight="1" x14ac:dyDescent="0.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21.75" customHeight="1" x14ac:dyDescent="0.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21.75" customHeight="1" x14ac:dyDescent="0.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21.75" customHeight="1" x14ac:dyDescent="0.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21.75" customHeight="1" x14ac:dyDescent="0.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21.75" customHeight="1" x14ac:dyDescent="0.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21.75" customHeight="1" x14ac:dyDescent="0.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21.75" customHeight="1" x14ac:dyDescent="0.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21.75" customHeight="1" x14ac:dyDescent="0.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21.75" customHeight="1" x14ac:dyDescent="0.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21.75" customHeight="1" x14ac:dyDescent="0.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21.75" customHeight="1" x14ac:dyDescent="0.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21.75" customHeight="1" x14ac:dyDescent="0.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21.75" customHeight="1" x14ac:dyDescent="0.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21.75" customHeight="1" x14ac:dyDescent="0.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21.75" customHeight="1" x14ac:dyDescent="0.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21.75" customHeight="1" x14ac:dyDescent="0.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21.75" customHeight="1" x14ac:dyDescent="0.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21.75" customHeight="1" x14ac:dyDescent="0.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21.75" customHeight="1" x14ac:dyDescent="0.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21.75" customHeight="1" x14ac:dyDescent="0.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21.75" customHeight="1" x14ac:dyDescent="0.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21.75" customHeight="1" x14ac:dyDescent="0.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21.75" customHeight="1" x14ac:dyDescent="0.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21.75" customHeight="1" x14ac:dyDescent="0.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21.75" customHeight="1" x14ac:dyDescent="0.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21.75" customHeight="1" x14ac:dyDescent="0.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21.75" customHeight="1" x14ac:dyDescent="0.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21.75" customHeight="1" x14ac:dyDescent="0.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21.75" customHeight="1" x14ac:dyDescent="0.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21.75" customHeight="1" x14ac:dyDescent="0.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21.75" customHeight="1" x14ac:dyDescent="0.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21.75" customHeight="1" x14ac:dyDescent="0.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21.75" customHeight="1" x14ac:dyDescent="0.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21.75" customHeight="1" x14ac:dyDescent="0.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21.75" customHeight="1" x14ac:dyDescent="0.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21.75" customHeight="1" x14ac:dyDescent="0.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21.75" customHeight="1" x14ac:dyDescent="0.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21.75" customHeight="1" x14ac:dyDescent="0.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21.75" customHeight="1" x14ac:dyDescent="0.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21.75" customHeight="1" x14ac:dyDescent="0.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21.75" customHeight="1" x14ac:dyDescent="0.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21.75" customHeight="1" x14ac:dyDescent="0.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21.75" customHeight="1" x14ac:dyDescent="0.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21.75" customHeight="1" x14ac:dyDescent="0.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21.75" customHeight="1" x14ac:dyDescent="0.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21.75" customHeight="1" x14ac:dyDescent="0.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21.75" customHeight="1" x14ac:dyDescent="0.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21.75" customHeight="1" x14ac:dyDescent="0.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21.75" customHeight="1" x14ac:dyDescent="0.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21.75" customHeight="1" x14ac:dyDescent="0.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21.75" customHeight="1" x14ac:dyDescent="0.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21.75" customHeight="1" x14ac:dyDescent="0.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21.75" customHeight="1" x14ac:dyDescent="0.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21.75" customHeight="1" x14ac:dyDescent="0.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21.75" customHeight="1" x14ac:dyDescent="0.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21.75" customHeight="1" x14ac:dyDescent="0.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21.75" customHeight="1" x14ac:dyDescent="0.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21.75" customHeight="1" x14ac:dyDescent="0.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21.75" customHeight="1" x14ac:dyDescent="0.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21.75" customHeight="1" x14ac:dyDescent="0.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21.75" customHeight="1" x14ac:dyDescent="0.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21.75" customHeight="1" x14ac:dyDescent="0.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21.75" customHeight="1" x14ac:dyDescent="0.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21.75" customHeight="1" x14ac:dyDescent="0.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21.75" customHeight="1" x14ac:dyDescent="0.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21.75" customHeight="1" x14ac:dyDescent="0.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21.75" customHeight="1" x14ac:dyDescent="0.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21.75" customHeight="1" x14ac:dyDescent="0.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21.75" customHeight="1" x14ac:dyDescent="0.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21.75" customHeight="1" x14ac:dyDescent="0.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21.75" customHeight="1" x14ac:dyDescent="0.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21.75" customHeight="1" x14ac:dyDescent="0.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21.75" customHeight="1" x14ac:dyDescent="0.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21.75" customHeight="1" x14ac:dyDescent="0.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21.75" customHeight="1" x14ac:dyDescent="0.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21.75" customHeight="1" x14ac:dyDescent="0.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21.75" customHeight="1" x14ac:dyDescent="0.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21.75" customHeight="1" x14ac:dyDescent="0.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21.75" customHeight="1" x14ac:dyDescent="0.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21.75" customHeight="1" x14ac:dyDescent="0.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21.75" customHeight="1" x14ac:dyDescent="0.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21.75" customHeight="1" x14ac:dyDescent="0.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21.75" customHeight="1" x14ac:dyDescent="0.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21.75" customHeight="1" x14ac:dyDescent="0.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21.75" customHeight="1" x14ac:dyDescent="0.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21.75" customHeight="1" x14ac:dyDescent="0.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21.75" customHeight="1" x14ac:dyDescent="0.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21.75" customHeight="1" x14ac:dyDescent="0.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21.75" customHeight="1" x14ac:dyDescent="0.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21.75" customHeight="1" x14ac:dyDescent="0.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21.75" customHeight="1" x14ac:dyDescent="0.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21.75" customHeight="1" x14ac:dyDescent="0.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21.75" customHeight="1" x14ac:dyDescent="0.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21.75" customHeight="1" x14ac:dyDescent="0.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21.75" customHeight="1" x14ac:dyDescent="0.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21.75" customHeight="1" x14ac:dyDescent="0.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21.75" customHeight="1" x14ac:dyDescent="0.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21.75" customHeight="1" x14ac:dyDescent="0.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21.75" customHeight="1" x14ac:dyDescent="0.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21.75" customHeight="1" x14ac:dyDescent="0.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21.75" customHeight="1" x14ac:dyDescent="0.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21.75" customHeight="1" x14ac:dyDescent="0.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21.75" customHeight="1" x14ac:dyDescent="0.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21.75" customHeight="1" x14ac:dyDescent="0.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21.75" customHeight="1" x14ac:dyDescent="0.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21.75" customHeight="1" x14ac:dyDescent="0.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21.75" customHeight="1" x14ac:dyDescent="0.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21.75" customHeight="1" x14ac:dyDescent="0.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21.75" customHeight="1" x14ac:dyDescent="0.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21.75" customHeight="1" x14ac:dyDescent="0.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21.75" customHeight="1" x14ac:dyDescent="0.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21.75" customHeight="1" x14ac:dyDescent="0.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21.75" customHeight="1" x14ac:dyDescent="0.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21.75" customHeight="1" x14ac:dyDescent="0.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21.75" customHeight="1" x14ac:dyDescent="0.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21.75" customHeight="1" x14ac:dyDescent="0.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21.75" customHeight="1" x14ac:dyDescent="0.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21.75" customHeight="1" x14ac:dyDescent="0.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21.75" customHeight="1" x14ac:dyDescent="0.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21.75" customHeight="1" x14ac:dyDescent="0.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21.75" customHeight="1" x14ac:dyDescent="0.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21.75" customHeight="1" x14ac:dyDescent="0.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21.75" customHeight="1" x14ac:dyDescent="0.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21.75" customHeight="1" x14ac:dyDescent="0.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21.75" customHeight="1" x14ac:dyDescent="0.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21.75" customHeight="1" x14ac:dyDescent="0.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21.75" customHeight="1" x14ac:dyDescent="0.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21.75" customHeight="1" x14ac:dyDescent="0.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21.75" customHeight="1" x14ac:dyDescent="0.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21.75" customHeight="1" x14ac:dyDescent="0.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21.75" customHeight="1" x14ac:dyDescent="0.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21.75" customHeight="1" x14ac:dyDescent="0.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21.75" customHeight="1" x14ac:dyDescent="0.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21.75" customHeight="1" x14ac:dyDescent="0.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21.75" customHeight="1" x14ac:dyDescent="0.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21.75" customHeight="1" x14ac:dyDescent="0.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21.75" customHeight="1" x14ac:dyDescent="0.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21.75" customHeight="1" x14ac:dyDescent="0.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21.75" customHeight="1" x14ac:dyDescent="0.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21.75" customHeight="1" x14ac:dyDescent="0.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21.75" customHeight="1" x14ac:dyDescent="0.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21.75" customHeight="1" x14ac:dyDescent="0.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21.75" customHeight="1" x14ac:dyDescent="0.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21.75" customHeight="1" x14ac:dyDescent="0.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21.75" customHeight="1" x14ac:dyDescent="0.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21.75" customHeight="1" x14ac:dyDescent="0.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21.75" customHeight="1" x14ac:dyDescent="0.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21.75" customHeight="1" x14ac:dyDescent="0.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21.75" customHeight="1" x14ac:dyDescent="0.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21.75" customHeight="1" x14ac:dyDescent="0.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21.75" customHeight="1" x14ac:dyDescent="0.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21.75" customHeight="1" x14ac:dyDescent="0.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21.75" customHeight="1" x14ac:dyDescent="0.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21.75" customHeight="1" x14ac:dyDescent="0.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21.75" customHeight="1" x14ac:dyDescent="0.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21.75" customHeight="1" x14ac:dyDescent="0.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21.75" customHeight="1" x14ac:dyDescent="0.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21.75" customHeight="1" x14ac:dyDescent="0.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21.75" customHeight="1" x14ac:dyDescent="0.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21.75" customHeight="1" x14ac:dyDescent="0.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21.75" customHeight="1" x14ac:dyDescent="0.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21.75" customHeight="1" x14ac:dyDescent="0.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21.75" customHeight="1" x14ac:dyDescent="0.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21.75" customHeight="1" x14ac:dyDescent="0.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21.75" customHeight="1" x14ac:dyDescent="0.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21.75" customHeight="1" x14ac:dyDescent="0.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21.75" customHeight="1" x14ac:dyDescent="0.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21.75" customHeight="1" x14ac:dyDescent="0.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21.75" customHeight="1" x14ac:dyDescent="0.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21.75" customHeight="1" x14ac:dyDescent="0.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21.75" customHeight="1" x14ac:dyDescent="0.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21.75" customHeight="1" x14ac:dyDescent="0.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21.75" customHeight="1" x14ac:dyDescent="0.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21.75" customHeight="1" x14ac:dyDescent="0.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21.75" customHeight="1" x14ac:dyDescent="0.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21.75" customHeight="1" x14ac:dyDescent="0.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21.75" customHeight="1" x14ac:dyDescent="0.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21.75" customHeight="1" x14ac:dyDescent="0.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21.75" customHeight="1" x14ac:dyDescent="0.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21.75" customHeight="1" x14ac:dyDescent="0.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21.75" customHeight="1" x14ac:dyDescent="0.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21.75" customHeight="1" x14ac:dyDescent="0.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21.75" customHeight="1" x14ac:dyDescent="0.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21.75" customHeight="1" x14ac:dyDescent="0.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21.75" customHeight="1" x14ac:dyDescent="0.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21.75" customHeight="1" x14ac:dyDescent="0.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21.75" customHeight="1" x14ac:dyDescent="0.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21.75" customHeight="1" x14ac:dyDescent="0.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21.75" customHeight="1" x14ac:dyDescent="0.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21.75" customHeight="1" x14ac:dyDescent="0.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21.75" customHeight="1" x14ac:dyDescent="0.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21.75" customHeight="1" x14ac:dyDescent="0.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21.75" customHeight="1" x14ac:dyDescent="0.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21.75" customHeight="1" x14ac:dyDescent="0.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21.75" customHeight="1" x14ac:dyDescent="0.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21.75" customHeight="1" x14ac:dyDescent="0.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21.75" customHeight="1" x14ac:dyDescent="0.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21.75" customHeight="1" x14ac:dyDescent="0.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21.75" customHeight="1" x14ac:dyDescent="0.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21.75" customHeight="1" x14ac:dyDescent="0.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21.75" customHeight="1" x14ac:dyDescent="0.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21.75" customHeight="1" x14ac:dyDescent="0.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21.75" customHeight="1" x14ac:dyDescent="0.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21.75" customHeight="1" x14ac:dyDescent="0.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21.75" customHeight="1" x14ac:dyDescent="0.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21.75" customHeight="1" x14ac:dyDescent="0.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21.75" customHeight="1" x14ac:dyDescent="0.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21.75" customHeight="1" x14ac:dyDescent="0.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21.75" customHeight="1" x14ac:dyDescent="0.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21.75" customHeight="1" x14ac:dyDescent="0.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21.75" customHeight="1" x14ac:dyDescent="0.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21.75" customHeight="1" x14ac:dyDescent="0.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21.75" customHeight="1" x14ac:dyDescent="0.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21.75" customHeight="1" x14ac:dyDescent="0.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21.75" customHeight="1" x14ac:dyDescent="0.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21.75" customHeight="1" x14ac:dyDescent="0.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21.75" customHeight="1" x14ac:dyDescent="0.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21.75" customHeight="1" x14ac:dyDescent="0.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21.75" customHeight="1" x14ac:dyDescent="0.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21.75" customHeight="1" x14ac:dyDescent="0.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21.75" customHeight="1" x14ac:dyDescent="0.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21.75" customHeight="1" x14ac:dyDescent="0.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21.75" customHeight="1" x14ac:dyDescent="0.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21.75" customHeight="1" x14ac:dyDescent="0.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21.75" customHeight="1" x14ac:dyDescent="0.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21.75" customHeight="1" x14ac:dyDescent="0.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21.75" customHeight="1" x14ac:dyDescent="0.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21.75" customHeight="1" x14ac:dyDescent="0.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21.75" customHeight="1" x14ac:dyDescent="0.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21.75" customHeight="1" x14ac:dyDescent="0.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21.75" customHeight="1" x14ac:dyDescent="0.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21.75" customHeight="1" x14ac:dyDescent="0.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21.75" customHeight="1" x14ac:dyDescent="0.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21.75" customHeight="1" x14ac:dyDescent="0.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21.75" customHeight="1" x14ac:dyDescent="0.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21.75" customHeight="1" x14ac:dyDescent="0.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21.75" customHeight="1" x14ac:dyDescent="0.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21.75" customHeight="1" x14ac:dyDescent="0.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21.75" customHeight="1" x14ac:dyDescent="0.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21.75" customHeight="1" x14ac:dyDescent="0.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21.75" customHeight="1" x14ac:dyDescent="0.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21.75" customHeight="1" x14ac:dyDescent="0.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21.75" customHeight="1" x14ac:dyDescent="0.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21.75" customHeight="1" x14ac:dyDescent="0.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21.75" customHeight="1" x14ac:dyDescent="0.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21.75" customHeight="1" x14ac:dyDescent="0.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21.75" customHeight="1" x14ac:dyDescent="0.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21.75" customHeight="1" x14ac:dyDescent="0.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21.75" customHeight="1" x14ac:dyDescent="0.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21.75" customHeight="1" x14ac:dyDescent="0.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21.75" customHeight="1" x14ac:dyDescent="0.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21.75" customHeight="1" x14ac:dyDescent="0.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21.75" customHeight="1" x14ac:dyDescent="0.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21.75" customHeight="1" x14ac:dyDescent="0.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21.75" customHeight="1" x14ac:dyDescent="0.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21.75" customHeight="1" x14ac:dyDescent="0.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21.75" customHeight="1" x14ac:dyDescent="0.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21.75" customHeight="1" x14ac:dyDescent="0.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21.75" customHeight="1" x14ac:dyDescent="0.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21.75" customHeight="1" x14ac:dyDescent="0.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21.75" customHeight="1" x14ac:dyDescent="0.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21.75" customHeight="1" x14ac:dyDescent="0.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21.75" customHeight="1" x14ac:dyDescent="0.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21.75" customHeight="1" x14ac:dyDescent="0.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21.75" customHeight="1" x14ac:dyDescent="0.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21.75" customHeight="1" x14ac:dyDescent="0.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21.75" customHeight="1" x14ac:dyDescent="0.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21.75" customHeight="1" x14ac:dyDescent="0.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21.75" customHeight="1" x14ac:dyDescent="0.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21.75" customHeight="1" x14ac:dyDescent="0.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21.75" customHeight="1" x14ac:dyDescent="0.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21.75" customHeight="1" x14ac:dyDescent="0.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21.75" customHeight="1" x14ac:dyDescent="0.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21.75" customHeight="1" x14ac:dyDescent="0.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21.75" customHeight="1" x14ac:dyDescent="0.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21.75" customHeight="1" x14ac:dyDescent="0.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21.75" customHeight="1" x14ac:dyDescent="0.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21.75" customHeight="1" x14ac:dyDescent="0.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21.75" customHeight="1" x14ac:dyDescent="0.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21.75" customHeight="1" x14ac:dyDescent="0.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21.75" customHeight="1" x14ac:dyDescent="0.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21.75" customHeight="1" x14ac:dyDescent="0.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21.75" customHeight="1" x14ac:dyDescent="0.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21.75" customHeight="1" x14ac:dyDescent="0.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21.75" customHeight="1" x14ac:dyDescent="0.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21.75" customHeight="1" x14ac:dyDescent="0.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21.75" customHeight="1" x14ac:dyDescent="0.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21.75" customHeight="1" x14ac:dyDescent="0.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21.75" customHeight="1" x14ac:dyDescent="0.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21.75" customHeight="1" x14ac:dyDescent="0.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21.75" customHeight="1" x14ac:dyDescent="0.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21.75" customHeight="1" x14ac:dyDescent="0.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21.75" customHeight="1" x14ac:dyDescent="0.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21.75" customHeight="1" x14ac:dyDescent="0.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21.75" customHeight="1" x14ac:dyDescent="0.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21.75" customHeight="1" x14ac:dyDescent="0.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21.75" customHeight="1" x14ac:dyDescent="0.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21.75" customHeight="1" x14ac:dyDescent="0.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21.75" customHeight="1" x14ac:dyDescent="0.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21.75" customHeight="1" x14ac:dyDescent="0.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21.75" customHeight="1" x14ac:dyDescent="0.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21.75" customHeight="1" x14ac:dyDescent="0.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21.75" customHeight="1" x14ac:dyDescent="0.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21.75" customHeight="1" x14ac:dyDescent="0.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21.75" customHeight="1" x14ac:dyDescent="0.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21.75" customHeight="1" x14ac:dyDescent="0.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21.75" customHeight="1" x14ac:dyDescent="0.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21.75" customHeight="1" x14ac:dyDescent="0.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21.75" customHeight="1" x14ac:dyDescent="0.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21.75" customHeight="1" x14ac:dyDescent="0.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21.75" customHeight="1" x14ac:dyDescent="0.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21.75" customHeight="1" x14ac:dyDescent="0.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21.75" customHeight="1" x14ac:dyDescent="0.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21.75" customHeight="1" x14ac:dyDescent="0.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21.75" customHeight="1" x14ac:dyDescent="0.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21.75" customHeight="1" x14ac:dyDescent="0.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21.75" customHeight="1" x14ac:dyDescent="0.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21.75" customHeight="1" x14ac:dyDescent="0.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21.75" customHeight="1" x14ac:dyDescent="0.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21.75" customHeight="1" x14ac:dyDescent="0.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21.75" customHeight="1" x14ac:dyDescent="0.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21.75" customHeight="1" x14ac:dyDescent="0.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21.75" customHeight="1" x14ac:dyDescent="0.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21.75" customHeight="1" x14ac:dyDescent="0.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21.75" customHeight="1" x14ac:dyDescent="0.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21.75" customHeight="1" x14ac:dyDescent="0.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21.75" customHeight="1" x14ac:dyDescent="0.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21.75" customHeight="1" x14ac:dyDescent="0.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21.75" customHeight="1" x14ac:dyDescent="0.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21.75" customHeight="1" x14ac:dyDescent="0.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21.75" customHeight="1" x14ac:dyDescent="0.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21.75" customHeight="1" x14ac:dyDescent="0.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21.75" customHeight="1" x14ac:dyDescent="0.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21.75" customHeight="1" x14ac:dyDescent="0.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21.75" customHeight="1" x14ac:dyDescent="0.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21.75" customHeight="1" x14ac:dyDescent="0.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21.75" customHeight="1" x14ac:dyDescent="0.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21.75" customHeight="1" x14ac:dyDescent="0.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21.75" customHeight="1" x14ac:dyDescent="0.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21.75" customHeight="1" x14ac:dyDescent="0.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21.75" customHeight="1" x14ac:dyDescent="0.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21.75" customHeight="1" x14ac:dyDescent="0.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21.75" customHeight="1" x14ac:dyDescent="0.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21.75" customHeight="1" x14ac:dyDescent="0.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21.75" customHeight="1" x14ac:dyDescent="0.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21.75" customHeight="1" x14ac:dyDescent="0.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21.75" customHeight="1" x14ac:dyDescent="0.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21.75" customHeight="1" x14ac:dyDescent="0.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21.75" customHeight="1" x14ac:dyDescent="0.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21.75" customHeight="1" x14ac:dyDescent="0.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21.75" customHeight="1" x14ac:dyDescent="0.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21.75" customHeight="1" x14ac:dyDescent="0.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21.75" customHeight="1" x14ac:dyDescent="0.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21.75" customHeight="1" x14ac:dyDescent="0.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21.75" customHeight="1" x14ac:dyDescent="0.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21.75" customHeight="1" x14ac:dyDescent="0.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21.75" customHeight="1" x14ac:dyDescent="0.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21.75" customHeight="1" x14ac:dyDescent="0.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21.75" customHeight="1" x14ac:dyDescent="0.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21.75" customHeight="1" x14ac:dyDescent="0.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21.75" customHeight="1" x14ac:dyDescent="0.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21.75" customHeight="1" x14ac:dyDescent="0.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21.75" customHeight="1" x14ac:dyDescent="0.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21.75" customHeight="1" x14ac:dyDescent="0.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21.75" customHeight="1" x14ac:dyDescent="0.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21.75" customHeight="1" x14ac:dyDescent="0.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21.75" customHeight="1" x14ac:dyDescent="0.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21.75" customHeight="1" x14ac:dyDescent="0.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21.75" customHeight="1" x14ac:dyDescent="0.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21.75" customHeight="1" x14ac:dyDescent="0.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21.75" customHeight="1" x14ac:dyDescent="0.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21.75" customHeight="1" x14ac:dyDescent="0.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21.75" customHeight="1" x14ac:dyDescent="0.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21.75" customHeight="1" x14ac:dyDescent="0.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21.75" customHeight="1" x14ac:dyDescent="0.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21.75" customHeight="1" x14ac:dyDescent="0.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21.75" customHeight="1" x14ac:dyDescent="0.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21.75" customHeight="1" x14ac:dyDescent="0.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21.75" customHeight="1" x14ac:dyDescent="0.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21.75" customHeight="1" x14ac:dyDescent="0.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21.75" customHeight="1" x14ac:dyDescent="0.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21.75" customHeight="1" x14ac:dyDescent="0.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21.75" customHeight="1" x14ac:dyDescent="0.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21.75" customHeight="1" x14ac:dyDescent="0.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21.75" customHeight="1" x14ac:dyDescent="0.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21.75" customHeight="1" x14ac:dyDescent="0.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21.75" customHeight="1" x14ac:dyDescent="0.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21.75" customHeight="1" x14ac:dyDescent="0.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21.75" customHeight="1" x14ac:dyDescent="0.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21.75" customHeight="1" x14ac:dyDescent="0.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21.75" customHeight="1" x14ac:dyDescent="0.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21.75" customHeight="1" x14ac:dyDescent="0.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21.75" customHeight="1" x14ac:dyDescent="0.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21.75" customHeight="1" x14ac:dyDescent="0.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21.75" customHeight="1" x14ac:dyDescent="0.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21.75" customHeight="1" x14ac:dyDescent="0.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21.75" customHeight="1" x14ac:dyDescent="0.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21.75" customHeight="1" x14ac:dyDescent="0.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21.75" customHeight="1" x14ac:dyDescent="0.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21.75" customHeight="1" x14ac:dyDescent="0.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21.75" customHeight="1" x14ac:dyDescent="0.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21.75" customHeight="1" x14ac:dyDescent="0.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21.75" customHeight="1" x14ac:dyDescent="0.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21.75" customHeight="1" x14ac:dyDescent="0.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21.75" customHeight="1" x14ac:dyDescent="0.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21.75" customHeight="1" x14ac:dyDescent="0.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21.75" customHeight="1" x14ac:dyDescent="0.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21.75" customHeight="1" x14ac:dyDescent="0.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21.75" customHeight="1" x14ac:dyDescent="0.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21.75" customHeight="1" x14ac:dyDescent="0.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21.75" customHeight="1" x14ac:dyDescent="0.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21.75" customHeight="1" x14ac:dyDescent="0.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21.75" customHeight="1" x14ac:dyDescent="0.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21.75" customHeight="1" x14ac:dyDescent="0.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21.75" customHeight="1" x14ac:dyDescent="0.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21.75" customHeight="1" x14ac:dyDescent="0.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21.75" customHeight="1" x14ac:dyDescent="0.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21.75" customHeight="1" x14ac:dyDescent="0.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21.75" customHeight="1" x14ac:dyDescent="0.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21.75" customHeight="1" x14ac:dyDescent="0.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21.75" customHeight="1" x14ac:dyDescent="0.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21.75" customHeight="1" x14ac:dyDescent="0.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21.75" customHeight="1" x14ac:dyDescent="0.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21.75" customHeight="1" x14ac:dyDescent="0.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21.75" customHeight="1" x14ac:dyDescent="0.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21.75" customHeight="1" x14ac:dyDescent="0.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21.75" customHeight="1" x14ac:dyDescent="0.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21.75" customHeight="1" x14ac:dyDescent="0.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21.75" customHeight="1" x14ac:dyDescent="0.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21.75" customHeight="1" x14ac:dyDescent="0.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21.75" customHeight="1" x14ac:dyDescent="0.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21.75" customHeight="1" x14ac:dyDescent="0.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21.75" customHeight="1" x14ac:dyDescent="0.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21.75" customHeight="1" x14ac:dyDescent="0.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21.75" customHeight="1" x14ac:dyDescent="0.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21.75" customHeight="1" x14ac:dyDescent="0.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21.75" customHeight="1" x14ac:dyDescent="0.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21.75" customHeight="1" x14ac:dyDescent="0.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21.75" customHeight="1" x14ac:dyDescent="0.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21.75" customHeight="1" x14ac:dyDescent="0.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21.75" customHeight="1" x14ac:dyDescent="0.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21.75" customHeight="1" x14ac:dyDescent="0.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21.75" customHeight="1" x14ac:dyDescent="0.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21.75" customHeight="1" x14ac:dyDescent="0.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21.75" customHeight="1" x14ac:dyDescent="0.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21.75" customHeight="1" x14ac:dyDescent="0.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21.75" customHeight="1" x14ac:dyDescent="0.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21.75" customHeight="1" x14ac:dyDescent="0.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21.75" customHeight="1" x14ac:dyDescent="0.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21.75" customHeight="1" x14ac:dyDescent="0.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21.75" customHeight="1" x14ac:dyDescent="0.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21.75" customHeight="1" x14ac:dyDescent="0.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21.75" customHeight="1" x14ac:dyDescent="0.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21.75" customHeight="1" x14ac:dyDescent="0.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21.75" customHeight="1" x14ac:dyDescent="0.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21.75" customHeight="1" x14ac:dyDescent="0.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21.75" customHeight="1" x14ac:dyDescent="0.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21.75" customHeight="1" x14ac:dyDescent="0.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21.75" customHeight="1" x14ac:dyDescent="0.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21.75" customHeight="1" x14ac:dyDescent="0.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21.75" customHeight="1" x14ac:dyDescent="0.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21.75" customHeight="1" x14ac:dyDescent="0.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21.75" customHeight="1" x14ac:dyDescent="0.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21.75" customHeight="1" x14ac:dyDescent="0.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21.75" customHeight="1" x14ac:dyDescent="0.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21.75" customHeight="1" x14ac:dyDescent="0.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21.75" customHeight="1" x14ac:dyDescent="0.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21.75" customHeight="1" x14ac:dyDescent="0.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21.75" customHeight="1" x14ac:dyDescent="0.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21.75" customHeight="1" x14ac:dyDescent="0.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21.75" customHeight="1" x14ac:dyDescent="0.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21.75" customHeight="1" x14ac:dyDescent="0.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21.75" customHeight="1" x14ac:dyDescent="0.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21.75" customHeight="1" x14ac:dyDescent="0.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21.75" customHeight="1" x14ac:dyDescent="0.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21.75" customHeight="1" x14ac:dyDescent="0.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21.75" customHeight="1" x14ac:dyDescent="0.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21.75" customHeight="1" x14ac:dyDescent="0.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21.75" customHeight="1" x14ac:dyDescent="0.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21.75" customHeight="1" x14ac:dyDescent="0.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21.75" customHeight="1" x14ac:dyDescent="0.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21.75" customHeight="1" x14ac:dyDescent="0.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21.75" customHeight="1" x14ac:dyDescent="0.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21.75" customHeight="1" x14ac:dyDescent="0.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21.75" customHeight="1" x14ac:dyDescent="0.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21.75" customHeight="1" x14ac:dyDescent="0.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21.75" customHeight="1" x14ac:dyDescent="0.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21.75" customHeight="1" x14ac:dyDescent="0.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21.75" customHeight="1" x14ac:dyDescent="0.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21.75" customHeight="1" x14ac:dyDescent="0.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21.75" customHeight="1" x14ac:dyDescent="0.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21.75" customHeight="1" x14ac:dyDescent="0.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21.75" customHeight="1" x14ac:dyDescent="0.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21.75" customHeight="1" x14ac:dyDescent="0.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21.75" customHeight="1" x14ac:dyDescent="0.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21.75" customHeight="1" x14ac:dyDescent="0.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21.75" customHeight="1" x14ac:dyDescent="0.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21.75" customHeight="1" x14ac:dyDescent="0.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21.75" customHeight="1" x14ac:dyDescent="0.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21.75" customHeight="1" x14ac:dyDescent="0.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21.75" customHeight="1" x14ac:dyDescent="0.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21.75" customHeight="1" x14ac:dyDescent="0.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21.75" customHeight="1" x14ac:dyDescent="0.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21.75" customHeight="1" x14ac:dyDescent="0.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21.75" customHeight="1" x14ac:dyDescent="0.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21.75" customHeight="1" x14ac:dyDescent="0.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21.75" customHeight="1" x14ac:dyDescent="0.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21.75" customHeight="1" x14ac:dyDescent="0.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21.75" customHeight="1" x14ac:dyDescent="0.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21.75" customHeight="1" x14ac:dyDescent="0.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21.75" customHeight="1" x14ac:dyDescent="0.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21.75" customHeight="1" x14ac:dyDescent="0.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21.75" customHeight="1" x14ac:dyDescent="0.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21.75" customHeight="1" x14ac:dyDescent="0.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21.75" customHeight="1" x14ac:dyDescent="0.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21.75" customHeight="1" x14ac:dyDescent="0.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21.75" customHeight="1" x14ac:dyDescent="0.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21.75" customHeight="1" x14ac:dyDescent="0.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21.75" customHeight="1" x14ac:dyDescent="0.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21.75" customHeight="1" x14ac:dyDescent="0.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21.75" customHeight="1" x14ac:dyDescent="0.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21.75" customHeight="1" x14ac:dyDescent="0.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21.75" customHeight="1" x14ac:dyDescent="0.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21.75" customHeight="1" x14ac:dyDescent="0.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21.75" customHeight="1" x14ac:dyDescent="0.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21.75" customHeight="1" x14ac:dyDescent="0.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21.75" customHeight="1" x14ac:dyDescent="0.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21.75" customHeight="1" x14ac:dyDescent="0.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21.75" customHeight="1" x14ac:dyDescent="0.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21.75" customHeight="1" x14ac:dyDescent="0.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21.75" customHeight="1" x14ac:dyDescent="0.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21.75" customHeight="1" x14ac:dyDescent="0.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21.75" customHeight="1" x14ac:dyDescent="0.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21.75" customHeight="1" x14ac:dyDescent="0.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21.75" customHeight="1" x14ac:dyDescent="0.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21.75" customHeight="1" x14ac:dyDescent="0.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21.75" customHeight="1" x14ac:dyDescent="0.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21.75" customHeight="1" x14ac:dyDescent="0.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21.75" customHeight="1" x14ac:dyDescent="0.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21.75" customHeight="1" x14ac:dyDescent="0.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21.75" customHeight="1" x14ac:dyDescent="0.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21.75" customHeight="1" x14ac:dyDescent="0.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21.75" customHeight="1" x14ac:dyDescent="0.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21.75" customHeight="1" x14ac:dyDescent="0.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21.75" customHeight="1" x14ac:dyDescent="0.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21.75" customHeight="1" x14ac:dyDescent="0.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21.75" customHeight="1" x14ac:dyDescent="0.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21.75" customHeight="1" x14ac:dyDescent="0.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21.75" customHeight="1" x14ac:dyDescent="0.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21.75" customHeight="1" x14ac:dyDescent="0.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21.75" customHeight="1" x14ac:dyDescent="0.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21.75" customHeight="1" x14ac:dyDescent="0.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21.75" customHeight="1" x14ac:dyDescent="0.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21.75" customHeight="1" x14ac:dyDescent="0.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21.75" customHeight="1" x14ac:dyDescent="0.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21.75" customHeight="1" x14ac:dyDescent="0.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21.75" customHeight="1" x14ac:dyDescent="0.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21.75" customHeight="1" x14ac:dyDescent="0.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21.75" customHeight="1" x14ac:dyDescent="0.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21.75" customHeight="1" x14ac:dyDescent="0.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21.75" customHeight="1" x14ac:dyDescent="0.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21.75" customHeight="1" x14ac:dyDescent="0.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21.75" customHeight="1" x14ac:dyDescent="0.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21.75" customHeight="1" x14ac:dyDescent="0.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21.75" customHeight="1" x14ac:dyDescent="0.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21.75" customHeight="1" x14ac:dyDescent="0.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21.75" customHeight="1" x14ac:dyDescent="0.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21.75" customHeight="1" x14ac:dyDescent="0.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21.75" customHeight="1" x14ac:dyDescent="0.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21.75" customHeight="1" x14ac:dyDescent="0.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21.75" customHeight="1" x14ac:dyDescent="0.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21.75" customHeight="1" x14ac:dyDescent="0.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21.75" customHeight="1" x14ac:dyDescent="0.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21.75" customHeight="1" x14ac:dyDescent="0.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21.75" customHeight="1" x14ac:dyDescent="0.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21.75" customHeight="1" x14ac:dyDescent="0.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21.75" customHeight="1" x14ac:dyDescent="0.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21.75" customHeight="1" x14ac:dyDescent="0.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21.75" customHeight="1" x14ac:dyDescent="0.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21.75" customHeight="1" x14ac:dyDescent="0.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21.75" customHeight="1" x14ac:dyDescent="0.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21.75" customHeight="1" x14ac:dyDescent="0.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21.75" customHeight="1" x14ac:dyDescent="0.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21.75" customHeight="1" x14ac:dyDescent="0.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21.75" customHeight="1" x14ac:dyDescent="0.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21.75" customHeight="1" x14ac:dyDescent="0.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21.75" customHeight="1" x14ac:dyDescent="0.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21.75" customHeight="1" x14ac:dyDescent="0.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21.75" customHeight="1" x14ac:dyDescent="0.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21.75" customHeight="1" x14ac:dyDescent="0.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21.75" customHeight="1" x14ac:dyDescent="0.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21.75" customHeight="1" x14ac:dyDescent="0.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21.75" customHeight="1" x14ac:dyDescent="0.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21.75" customHeight="1" x14ac:dyDescent="0.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21.75" customHeight="1" x14ac:dyDescent="0.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21.75" customHeight="1" x14ac:dyDescent="0.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21.75" customHeight="1" x14ac:dyDescent="0.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21.75" customHeight="1" x14ac:dyDescent="0.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21.75" customHeight="1" x14ac:dyDescent="0.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21.75" customHeight="1" x14ac:dyDescent="0.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21.75" customHeight="1" x14ac:dyDescent="0.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21.75" customHeight="1" x14ac:dyDescent="0.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21.75" customHeight="1" x14ac:dyDescent="0.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21.75" customHeight="1" x14ac:dyDescent="0.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21.75" customHeight="1" x14ac:dyDescent="0.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21.75" customHeight="1" x14ac:dyDescent="0.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21.75" customHeight="1" x14ac:dyDescent="0.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21.75" customHeight="1" x14ac:dyDescent="0.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21.75" customHeight="1" x14ac:dyDescent="0.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21.75" customHeight="1" x14ac:dyDescent="0.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21.75" customHeight="1" x14ac:dyDescent="0.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21.75" customHeight="1" x14ac:dyDescent="0.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21.75" customHeight="1" x14ac:dyDescent="0.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21.75" customHeight="1" x14ac:dyDescent="0.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21.75" customHeight="1" x14ac:dyDescent="0.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21.75" customHeight="1" x14ac:dyDescent="0.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21.75" customHeight="1" x14ac:dyDescent="0.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21.75" customHeight="1" x14ac:dyDescent="0.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21.75" customHeight="1" x14ac:dyDescent="0.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21.75" customHeight="1" x14ac:dyDescent="0.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21.75" customHeight="1" x14ac:dyDescent="0.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21.75" customHeight="1" x14ac:dyDescent="0.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21.75" customHeight="1" x14ac:dyDescent="0.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21.75" customHeight="1" x14ac:dyDescent="0.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21.75" customHeight="1" x14ac:dyDescent="0.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21.75" customHeight="1" x14ac:dyDescent="0.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21.75" customHeight="1" x14ac:dyDescent="0.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21.75" customHeight="1" x14ac:dyDescent="0.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21.75" customHeight="1" x14ac:dyDescent="0.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21.75" customHeight="1" x14ac:dyDescent="0.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21.75" customHeight="1" x14ac:dyDescent="0.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21.75" customHeight="1" x14ac:dyDescent="0.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21.75" customHeight="1" x14ac:dyDescent="0.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21.75" customHeight="1" x14ac:dyDescent="0.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21.75" customHeight="1" x14ac:dyDescent="0.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21.75" customHeight="1" x14ac:dyDescent="0.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21.75" customHeight="1" x14ac:dyDescent="0.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21.75" customHeight="1" x14ac:dyDescent="0.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21.75" customHeight="1" x14ac:dyDescent="0.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21.75" customHeight="1" x14ac:dyDescent="0.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 spans="1:30" ht="21.75" customHeight="1" x14ac:dyDescent="0.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 spans="1:30" ht="21.75" customHeight="1" x14ac:dyDescent="0.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 spans="1:30" ht="21.75" customHeight="1" x14ac:dyDescent="0.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 spans="1:30" ht="21.75" customHeight="1" x14ac:dyDescent="0.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 spans="1:30" ht="21.75" customHeight="1" x14ac:dyDescent="0.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 spans="1:30" ht="21.75" customHeight="1" x14ac:dyDescent="0.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 spans="1:30" ht="21.75" customHeight="1" x14ac:dyDescent="0.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 spans="1:30" ht="21.75" customHeight="1" x14ac:dyDescent="0.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 spans="1:30" ht="21.75" customHeight="1" x14ac:dyDescent="0.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 spans="1:30" ht="21.75" customHeight="1" x14ac:dyDescent="0.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 spans="1:30" ht="21.75" customHeight="1" x14ac:dyDescent="0.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 spans="1:30" ht="21.75" customHeight="1" x14ac:dyDescent="0.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 spans="1:30" ht="21.75" customHeight="1" x14ac:dyDescent="0.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 spans="1:30" ht="21.75" customHeight="1" x14ac:dyDescent="0.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 spans="1:30" ht="21.75" customHeight="1" x14ac:dyDescent="0.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 spans="1:30" ht="21.75" customHeight="1" x14ac:dyDescent="0.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 spans="1:30" ht="21.75" customHeight="1" x14ac:dyDescent="0.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 spans="1:30" ht="21.75" customHeight="1" x14ac:dyDescent="0.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 spans="1:30" ht="21.75" customHeight="1" x14ac:dyDescent="0.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 spans="1:30" ht="21.75" customHeight="1" x14ac:dyDescent="0.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 spans="1:30" ht="21.75" customHeight="1" x14ac:dyDescent="0.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 spans="1:30" ht="21.75" customHeight="1" x14ac:dyDescent="0.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 spans="1:30" ht="21.75" customHeight="1" x14ac:dyDescent="0.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 spans="1:30" ht="21.75" customHeight="1" x14ac:dyDescent="0.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 spans="1:30" ht="21.75" customHeight="1" x14ac:dyDescent="0.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 spans="1:30" ht="21.75" customHeight="1" x14ac:dyDescent="0.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 spans="1:30" ht="21.75" customHeight="1" x14ac:dyDescent="0.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 spans="1:30" ht="21.75" customHeight="1" x14ac:dyDescent="0.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 spans="1:30" ht="21.75" customHeight="1" x14ac:dyDescent="0.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 spans="1:30" ht="21.75" customHeight="1" x14ac:dyDescent="0.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 spans="1:30" ht="21.75" customHeight="1" x14ac:dyDescent="0.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 spans="1:30" ht="21.75" customHeight="1" x14ac:dyDescent="0.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 spans="1:30" ht="21.75" customHeight="1" x14ac:dyDescent="0.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 spans="1:30" ht="21.75" customHeight="1" x14ac:dyDescent="0.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 spans="1:30" ht="21.75" customHeight="1" x14ac:dyDescent="0.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 spans="1:30" ht="21.75" customHeight="1" x14ac:dyDescent="0.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 spans="1:30" ht="21.75" customHeight="1" x14ac:dyDescent="0.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 spans="1:30" ht="21.75" customHeight="1" x14ac:dyDescent="0.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 spans="1:30" ht="21.75" customHeight="1" x14ac:dyDescent="0.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 spans="1:30" ht="21.75" customHeight="1" x14ac:dyDescent="0.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 spans="1:30" ht="21.75" customHeight="1" x14ac:dyDescent="0.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 spans="1:30" ht="21.75" customHeight="1" x14ac:dyDescent="0.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 spans="1:30" ht="21.75" customHeight="1" x14ac:dyDescent="0.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 spans="1:30" ht="21.75" customHeight="1" x14ac:dyDescent="0.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 spans="1:30" ht="21.75" customHeight="1" x14ac:dyDescent="0.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 spans="1:30" ht="21.75" customHeight="1" x14ac:dyDescent="0.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 spans="1:30" ht="21.75" customHeight="1" x14ac:dyDescent="0.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 spans="1:30" ht="21.75" customHeight="1" x14ac:dyDescent="0.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 spans="1:30" ht="21.75" customHeight="1" x14ac:dyDescent="0.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 spans="1:30" ht="21.75" customHeight="1" x14ac:dyDescent="0.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 spans="1:30" ht="21.75" customHeight="1" x14ac:dyDescent="0.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 spans="1:30" ht="21.75" customHeight="1" x14ac:dyDescent="0.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 spans="1:30" ht="21.75" customHeight="1" x14ac:dyDescent="0.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 spans="1:30" ht="21.75" customHeight="1" x14ac:dyDescent="0.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 spans="1:30" ht="21.75" customHeight="1" x14ac:dyDescent="0.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 spans="1:30" ht="21.75" customHeight="1" x14ac:dyDescent="0.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 spans="1:30" ht="21.75" customHeight="1" x14ac:dyDescent="0.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 spans="1:30" ht="21.75" customHeight="1" x14ac:dyDescent="0.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 spans="1:30" ht="21.75" customHeight="1" x14ac:dyDescent="0.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 spans="1:30" ht="21.75" customHeight="1" x14ac:dyDescent="0.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 spans="1:30" ht="21.75" customHeight="1" x14ac:dyDescent="0.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 spans="1:30" ht="21.75" customHeight="1" x14ac:dyDescent="0.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 spans="1:30" ht="21.75" customHeight="1" x14ac:dyDescent="0.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 spans="1:30" ht="21.75" customHeight="1" x14ac:dyDescent="0.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</sheetData>
  <mergeCells count="6">
    <mergeCell ref="M17:N17"/>
    <mergeCell ref="M12:N12"/>
    <mergeCell ref="M13:N13"/>
    <mergeCell ref="M14:N14"/>
    <mergeCell ref="M15:N15"/>
    <mergeCell ref="M16:N16"/>
  </mergeCells>
  <dataValidations count="3">
    <dataValidation type="custom" allowBlank="1" showDropDown="1" sqref="D5:D10 R5:R10" xr:uid="{00000000-0002-0000-0000-000000000000}">
      <formula1>OR(NOT(ISERROR(DATEVALUE(D5))), AND(ISNUMBER(D5), LEFT(CELL("format", D5))="D"))</formula1>
    </dataValidation>
    <dataValidation type="custom" allowBlank="1" showDropDown="1" sqref="I5:M10 O5:P10" xr:uid="{00000000-0002-0000-0000-000001000000}">
      <formula1>AND(ISNUMBER(I5),(NOT(OR(NOT(ISERROR(DATEVALUE(I5))), AND(ISNUMBER(I5), LEFT(CELL("format", I5))="D")))))</formula1>
    </dataValidation>
    <dataValidation allowBlank="1" showDropDown="1" sqref="C5:C10 G5:G10" xr:uid="{00000000-0002-0000-0000-000002000000}"/>
  </dataValidations>
  <hyperlinks>
    <hyperlink ref="X5" r:id="rId1" xr:uid="{00000000-0004-0000-0000-000000000000}"/>
    <hyperlink ref="X6" r:id="rId2" xr:uid="{00000000-0004-0000-0000-000001000000}"/>
    <hyperlink ref="X7" r:id="rId3" xr:uid="{00000000-0004-0000-0000-000002000000}"/>
    <hyperlink ref="X8" r:id="rId4" xr:uid="{00000000-0004-0000-0000-000003000000}"/>
    <hyperlink ref="X9" r:id="rId5" xr:uid="{00000000-0004-0000-0000-000004000000}"/>
    <hyperlink ref="X10" r:id="rId6" xr:uid="{00000000-0004-0000-0000-000005000000}"/>
  </hyperlinks>
  <printOptions horizontalCentered="1" gridLines="1"/>
  <pageMargins left="0.7" right="0.7" top="0.75" bottom="0.75" header="0" footer="0"/>
  <pageSetup scale="51" pageOrder="overThenDown" orientation="landscape" cellComments="atEnd"/>
  <drawing r:id="rId7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44"/>
  <sheetViews>
    <sheetView tabSelected="1" topLeftCell="A8" workbookViewId="0"/>
  </sheetViews>
  <sheetFormatPr defaultColWidth="12.6640625" defaultRowHeight="15" customHeight="1" x14ac:dyDescent="0.3"/>
  <cols>
    <col min="4" max="4" width="9.5" customWidth="1"/>
    <col min="5" max="5" width="11.25" customWidth="1"/>
    <col min="6" max="6" width="22" customWidth="1"/>
    <col min="7" max="7" width="6.6640625" customWidth="1"/>
    <col min="8" max="8" width="15" customWidth="1"/>
    <col min="9" max="9" width="14.6640625" customWidth="1"/>
    <col min="10" max="10" width="18" customWidth="1"/>
    <col min="11" max="11" width="15" customWidth="1"/>
    <col min="12" max="12" width="15.5" customWidth="1"/>
    <col min="13" max="13" width="18.4140625" customWidth="1"/>
    <col min="14" max="14" width="7.25" customWidth="1"/>
    <col min="19" max="19" width="19.25" customWidth="1"/>
    <col min="20" max="20" width="9.4140625" customWidth="1"/>
    <col min="21" max="21" width="14.6640625" customWidth="1"/>
    <col min="22" max="22" width="15.4140625" customWidth="1"/>
    <col min="23" max="23" width="18.6640625" customWidth="1"/>
    <col min="24" max="24" width="16.75" customWidth="1"/>
    <col min="25" max="25" width="16.1640625" customWidth="1"/>
    <col min="26" max="26" width="15.9140625" customWidth="1"/>
    <col min="28" max="28" width="6.25" customWidth="1"/>
    <col min="31" max="31" width="17.4140625" customWidth="1"/>
    <col min="33" max="33" width="5.1640625" customWidth="1"/>
    <col min="34" max="34" width="14.4140625" customWidth="1"/>
    <col min="43" max="43" width="18.1640625" customWidth="1"/>
    <col min="44" max="44" width="19.9140625" customWidth="1"/>
    <col min="45" max="45" width="20.1640625" customWidth="1"/>
    <col min="46" max="46" width="17.75" customWidth="1"/>
  </cols>
  <sheetData>
    <row r="1" spans="1:49" ht="14" x14ac:dyDescent="0.3">
      <c r="A1" s="1"/>
    </row>
    <row r="4" spans="1:49" ht="22.5" customHeight="1" x14ac:dyDescent="0.3">
      <c r="A4" s="2"/>
      <c r="B4" s="3" t="s">
        <v>0</v>
      </c>
      <c r="C4" s="3" t="s">
        <v>1</v>
      </c>
      <c r="D4" s="4" t="s">
        <v>2</v>
      </c>
      <c r="E4" s="4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2"/>
      <c r="O4" s="3" t="s">
        <v>0</v>
      </c>
      <c r="P4" s="3" t="s">
        <v>1</v>
      </c>
      <c r="Q4" s="4" t="s">
        <v>2</v>
      </c>
      <c r="R4" s="4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11</v>
      </c>
      <c r="AA4" s="5" t="s">
        <v>12</v>
      </c>
      <c r="AB4" s="2"/>
      <c r="AC4" s="3" t="s">
        <v>1</v>
      </c>
      <c r="AD4" s="3" t="s">
        <v>0</v>
      </c>
      <c r="AE4" s="3" t="s">
        <v>13</v>
      </c>
      <c r="AF4" s="3" t="s">
        <v>14</v>
      </c>
      <c r="AG4" s="3" t="s">
        <v>15</v>
      </c>
      <c r="AH4" s="3" t="s">
        <v>16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22.5" customHeight="1" x14ac:dyDescent="0.3">
      <c r="B5" s="6"/>
      <c r="C5" s="7"/>
      <c r="D5" s="7"/>
      <c r="E5" s="7"/>
      <c r="F5" s="6"/>
      <c r="G5" s="8"/>
      <c r="H5" s="9"/>
      <c r="I5" s="9"/>
      <c r="J5" s="9"/>
      <c r="K5" s="10"/>
      <c r="L5" s="10"/>
      <c r="M5" s="11"/>
      <c r="O5" s="6"/>
      <c r="P5" s="7"/>
      <c r="Q5" s="7"/>
      <c r="R5" s="7"/>
      <c r="S5" s="6"/>
      <c r="T5" s="8"/>
      <c r="U5" s="9"/>
      <c r="V5" s="9"/>
      <c r="W5" s="9"/>
      <c r="X5" s="10"/>
      <c r="Y5" s="10"/>
      <c r="Z5" s="11"/>
      <c r="AA5" s="11"/>
      <c r="AC5" s="12">
        <v>46006</v>
      </c>
      <c r="AD5" s="11" t="s">
        <v>17</v>
      </c>
      <c r="AE5" s="11" t="s">
        <v>18</v>
      </c>
      <c r="AF5" s="11" t="s">
        <v>19</v>
      </c>
      <c r="AG5" s="9" t="b">
        <v>1</v>
      </c>
      <c r="AH5" s="13" t="s">
        <v>20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22.5" customHeight="1" x14ac:dyDescent="0.3">
      <c r="B6" s="6" t="s">
        <v>21</v>
      </c>
      <c r="C6" s="14">
        <v>45912</v>
      </c>
      <c r="D6" s="9" t="s">
        <v>22</v>
      </c>
      <c r="E6" s="9" t="str">
        <f t="shared" ref="E6:E11" ca="1" si="0">IF(C6 - TODAY() &gt; 0, (C6 - TODAY()) &amp; " days left", "Expired")</f>
        <v>Expired</v>
      </c>
      <c r="F6" s="6" t="s">
        <v>23</v>
      </c>
      <c r="G6" s="9" t="b">
        <v>1</v>
      </c>
      <c r="H6" s="9">
        <v>43</v>
      </c>
      <c r="I6" s="9">
        <v>50</v>
      </c>
      <c r="J6" s="9">
        <v>45</v>
      </c>
      <c r="K6" s="10">
        <f t="shared" ref="K6:K11" si="1">H6/I6</f>
        <v>0.86</v>
      </c>
      <c r="L6" s="10">
        <f t="shared" ref="L6:L11" si="2">(J6/I6)</f>
        <v>0.9</v>
      </c>
      <c r="M6" s="11">
        <f>J6+49</f>
        <v>94</v>
      </c>
      <c r="O6" s="6" t="s">
        <v>24</v>
      </c>
      <c r="P6" s="14">
        <v>45980</v>
      </c>
      <c r="Q6" s="9" t="s">
        <v>22</v>
      </c>
      <c r="R6" s="9" t="str">
        <f t="shared" ref="R6:R11" ca="1" si="3">IF(P6 - TODAY() &gt; 0, (P6 - TODAY()) &amp; " days left", "Expired")</f>
        <v>Expired</v>
      </c>
      <c r="S6" s="6" t="s">
        <v>25</v>
      </c>
      <c r="T6" s="9" t="b">
        <v>1</v>
      </c>
      <c r="U6" s="15">
        <v>74</v>
      </c>
      <c r="V6" s="9">
        <v>80</v>
      </c>
      <c r="W6" s="9">
        <v>68.5</v>
      </c>
      <c r="X6" s="10">
        <f t="shared" ref="X6:X11" si="4">U6/V6</f>
        <v>0.92500000000000004</v>
      </c>
      <c r="Y6" s="10">
        <f t="shared" ref="Y6:Y11" si="5">(W6/V6)</f>
        <v>0.85624999999999996</v>
      </c>
      <c r="Z6" s="11">
        <f>W6+20</f>
        <v>88.5</v>
      </c>
      <c r="AA6" s="11">
        <f>U6+20</f>
        <v>94</v>
      </c>
      <c r="AC6" s="12">
        <v>46008</v>
      </c>
      <c r="AD6" s="11" t="s">
        <v>24</v>
      </c>
      <c r="AE6" s="11" t="s">
        <v>26</v>
      </c>
      <c r="AF6" s="11" t="s">
        <v>19</v>
      </c>
      <c r="AG6" s="9" t="b">
        <v>1</v>
      </c>
      <c r="AH6" s="13" t="s">
        <v>27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22.5" customHeight="1" x14ac:dyDescent="0.3">
      <c r="B7" s="6" t="s">
        <v>17</v>
      </c>
      <c r="C7" s="14">
        <v>45915</v>
      </c>
      <c r="D7" s="9">
        <v>2</v>
      </c>
      <c r="E7" s="9" t="str">
        <f t="shared" ca="1" si="0"/>
        <v>Expired</v>
      </c>
      <c r="F7" s="6" t="s">
        <v>28</v>
      </c>
      <c r="G7" s="9" t="b">
        <v>1</v>
      </c>
      <c r="H7" s="9">
        <v>40</v>
      </c>
      <c r="I7" s="9">
        <v>80</v>
      </c>
      <c r="J7" s="9">
        <v>50</v>
      </c>
      <c r="K7" s="10">
        <f t="shared" si="1"/>
        <v>0.5</v>
      </c>
      <c r="L7" s="10">
        <f t="shared" si="2"/>
        <v>0.625</v>
      </c>
      <c r="M7" s="11">
        <f t="shared" ref="M7:M8" si="6">J7+19</f>
        <v>69</v>
      </c>
      <c r="O7" s="6" t="s">
        <v>21</v>
      </c>
      <c r="P7" s="14">
        <v>45982</v>
      </c>
      <c r="Q7" s="9">
        <v>1</v>
      </c>
      <c r="R7" s="9" t="str">
        <f t="shared" ca="1" si="3"/>
        <v>Expired</v>
      </c>
      <c r="S7" s="6" t="s">
        <v>23</v>
      </c>
      <c r="T7" s="9" t="b">
        <v>1</v>
      </c>
      <c r="U7" s="9">
        <v>45</v>
      </c>
      <c r="V7" s="9">
        <v>50</v>
      </c>
      <c r="W7" s="9">
        <v>48</v>
      </c>
      <c r="X7" s="10">
        <f t="shared" si="4"/>
        <v>0.9</v>
      </c>
      <c r="Y7" s="10">
        <f t="shared" si="5"/>
        <v>0.96</v>
      </c>
      <c r="Z7" s="11">
        <f>W7+50</f>
        <v>98</v>
      </c>
      <c r="AA7" s="11">
        <f>U7+49</f>
        <v>94</v>
      </c>
      <c r="AC7" s="12">
        <v>46009</v>
      </c>
      <c r="AD7" s="11" t="s">
        <v>29</v>
      </c>
      <c r="AE7" s="11" t="s">
        <v>30</v>
      </c>
      <c r="AF7" s="11" t="s">
        <v>19</v>
      </c>
      <c r="AG7" s="9" t="b">
        <v>1</v>
      </c>
      <c r="AH7" s="13" t="s">
        <v>31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22.5" customHeight="1" x14ac:dyDescent="0.3">
      <c r="B8" s="6" t="s">
        <v>24</v>
      </c>
      <c r="C8" s="14">
        <v>45917</v>
      </c>
      <c r="D8" s="9">
        <v>1</v>
      </c>
      <c r="E8" s="9" t="str">
        <f t="shared" ca="1" si="0"/>
        <v>Expired</v>
      </c>
      <c r="F8" s="6" t="s">
        <v>26</v>
      </c>
      <c r="G8" s="9" t="b">
        <v>1</v>
      </c>
      <c r="H8" s="9">
        <v>43</v>
      </c>
      <c r="I8" s="9">
        <v>80</v>
      </c>
      <c r="J8" s="9">
        <v>50.5</v>
      </c>
      <c r="K8" s="10">
        <f t="shared" si="1"/>
        <v>0.53749999999999998</v>
      </c>
      <c r="L8" s="10">
        <f t="shared" si="2"/>
        <v>0.63124999999999998</v>
      </c>
      <c r="M8" s="11">
        <f t="shared" si="6"/>
        <v>69.5</v>
      </c>
      <c r="O8" s="6" t="s">
        <v>17</v>
      </c>
      <c r="P8" s="14">
        <v>45985</v>
      </c>
      <c r="Q8" s="9">
        <v>2</v>
      </c>
      <c r="R8" s="9" t="str">
        <f t="shared" ca="1" si="3"/>
        <v>Expired</v>
      </c>
      <c r="S8" s="6" t="s">
        <v>26</v>
      </c>
      <c r="T8" s="9" t="b">
        <v>1</v>
      </c>
      <c r="U8" s="15">
        <v>62</v>
      </c>
      <c r="V8" s="9">
        <v>80</v>
      </c>
      <c r="W8" s="9">
        <v>45</v>
      </c>
      <c r="X8" s="10">
        <f t="shared" si="4"/>
        <v>0.77500000000000002</v>
      </c>
      <c r="Y8" s="10">
        <f t="shared" si="5"/>
        <v>0.5625</v>
      </c>
      <c r="Z8" s="11">
        <f>W8+19</f>
        <v>64</v>
      </c>
      <c r="AA8" s="11">
        <f>U8+19</f>
        <v>81</v>
      </c>
      <c r="AC8" s="12">
        <v>46025</v>
      </c>
      <c r="AD8" s="11" t="s">
        <v>32</v>
      </c>
      <c r="AE8" s="11" t="s">
        <v>23</v>
      </c>
      <c r="AF8" s="11" t="s">
        <v>33</v>
      </c>
      <c r="AG8" s="9" t="b">
        <v>1</v>
      </c>
      <c r="AH8" s="13" t="s">
        <v>34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22.5" customHeight="1" x14ac:dyDescent="0.3">
      <c r="B9" s="6" t="s">
        <v>24</v>
      </c>
      <c r="C9" s="14">
        <v>45923</v>
      </c>
      <c r="D9" s="9">
        <v>1</v>
      </c>
      <c r="E9" s="9" t="str">
        <f t="shared" ca="1" si="0"/>
        <v>Expired</v>
      </c>
      <c r="F9" s="6" t="s">
        <v>30</v>
      </c>
      <c r="G9" s="9" t="b">
        <v>1</v>
      </c>
      <c r="H9" s="9">
        <v>69</v>
      </c>
      <c r="I9" s="9">
        <v>80</v>
      </c>
      <c r="J9" s="9">
        <v>60</v>
      </c>
      <c r="K9" s="10">
        <f t="shared" si="1"/>
        <v>0.86250000000000004</v>
      </c>
      <c r="L9" s="10">
        <f t="shared" si="2"/>
        <v>0.75</v>
      </c>
      <c r="M9" s="11">
        <f>J9+20</f>
        <v>80</v>
      </c>
      <c r="O9" s="6" t="s">
        <v>24</v>
      </c>
      <c r="P9" s="14">
        <v>45987</v>
      </c>
      <c r="Q9" s="9">
        <v>1</v>
      </c>
      <c r="R9" s="9" t="str">
        <f t="shared" ca="1" si="3"/>
        <v>Expired</v>
      </c>
      <c r="S9" s="6" t="s">
        <v>30</v>
      </c>
      <c r="T9" s="9" t="b">
        <v>1</v>
      </c>
      <c r="U9" s="15">
        <v>65</v>
      </c>
      <c r="V9" s="9">
        <v>80</v>
      </c>
      <c r="W9" s="9">
        <v>66.5</v>
      </c>
      <c r="X9" s="10">
        <f t="shared" si="4"/>
        <v>0.8125</v>
      </c>
      <c r="Y9" s="10">
        <f t="shared" si="5"/>
        <v>0.83125000000000004</v>
      </c>
      <c r="Z9" s="11">
        <f t="shared" ref="Z9:Z11" si="7">W9+20</f>
        <v>86.5</v>
      </c>
      <c r="AA9" s="11">
        <f>U9+20</f>
        <v>85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22.5" customHeight="1" x14ac:dyDescent="0.3">
      <c r="B10" s="6" t="s">
        <v>17</v>
      </c>
      <c r="C10" s="14">
        <v>45925</v>
      </c>
      <c r="D10" s="9">
        <v>4</v>
      </c>
      <c r="E10" s="9" t="str">
        <f t="shared" ca="1" si="0"/>
        <v>Expired</v>
      </c>
      <c r="F10" s="6" t="s">
        <v>18</v>
      </c>
      <c r="G10" s="9" t="b">
        <v>1</v>
      </c>
      <c r="H10" s="9">
        <v>52</v>
      </c>
      <c r="I10" s="9">
        <v>80</v>
      </c>
      <c r="J10" s="9">
        <v>70</v>
      </c>
      <c r="K10" s="10">
        <f t="shared" si="1"/>
        <v>0.65</v>
      </c>
      <c r="L10" s="10">
        <f t="shared" si="2"/>
        <v>0.875</v>
      </c>
      <c r="M10" s="11">
        <f>J10+19</f>
        <v>89</v>
      </c>
      <c r="O10" s="6" t="s">
        <v>21</v>
      </c>
      <c r="P10" s="14">
        <v>45989</v>
      </c>
      <c r="Q10" s="9">
        <v>1</v>
      </c>
      <c r="R10" s="9" t="str">
        <f t="shared" ca="1" si="3"/>
        <v>Expired</v>
      </c>
      <c r="S10" s="6" t="s">
        <v>18</v>
      </c>
      <c r="T10" s="9" t="b">
        <v>1</v>
      </c>
      <c r="U10" s="9">
        <v>68</v>
      </c>
      <c r="V10" s="9">
        <v>80</v>
      </c>
      <c r="W10" s="9">
        <v>69</v>
      </c>
      <c r="X10" s="10">
        <f t="shared" si="4"/>
        <v>0.85</v>
      </c>
      <c r="Y10" s="10">
        <f t="shared" si="5"/>
        <v>0.86250000000000004</v>
      </c>
      <c r="Z10" s="11">
        <f t="shared" si="7"/>
        <v>89</v>
      </c>
      <c r="AA10" s="11">
        <f>U10+19</f>
        <v>87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22.5" customHeight="1" x14ac:dyDescent="0.3">
      <c r="B11" s="6" t="s">
        <v>21</v>
      </c>
      <c r="C11" s="14">
        <v>45926</v>
      </c>
      <c r="D11" s="9">
        <v>1</v>
      </c>
      <c r="E11" s="9" t="str">
        <f t="shared" ca="1" si="0"/>
        <v>Expired</v>
      </c>
      <c r="F11" s="6" t="s">
        <v>25</v>
      </c>
      <c r="G11" s="9" t="b">
        <v>1</v>
      </c>
      <c r="H11" s="9">
        <v>69</v>
      </c>
      <c r="I11" s="9">
        <v>80</v>
      </c>
      <c r="J11" s="9">
        <v>74</v>
      </c>
      <c r="K11" s="10">
        <f t="shared" si="1"/>
        <v>0.86250000000000004</v>
      </c>
      <c r="L11" s="10">
        <f t="shared" si="2"/>
        <v>0.92500000000000004</v>
      </c>
      <c r="M11" s="11">
        <f>J11+20</f>
        <v>94</v>
      </c>
      <c r="O11" s="6" t="s">
        <v>17</v>
      </c>
      <c r="P11" s="14">
        <v>45992</v>
      </c>
      <c r="Q11" s="9">
        <v>2</v>
      </c>
      <c r="R11" s="9" t="str">
        <f t="shared" ca="1" si="3"/>
        <v>Expired</v>
      </c>
      <c r="S11" s="6" t="s">
        <v>28</v>
      </c>
      <c r="T11" s="9" t="b">
        <v>1</v>
      </c>
      <c r="U11" s="9">
        <v>55</v>
      </c>
      <c r="V11" s="9">
        <v>80</v>
      </c>
      <c r="W11" s="9">
        <v>48.5</v>
      </c>
      <c r="X11" s="10">
        <f t="shared" si="4"/>
        <v>0.6875</v>
      </c>
      <c r="Y11" s="10">
        <f t="shared" si="5"/>
        <v>0.60624999999999996</v>
      </c>
      <c r="Z11" s="11">
        <f t="shared" si="7"/>
        <v>68.5</v>
      </c>
      <c r="AA11" s="11">
        <f>U11+20</f>
        <v>75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22.5" customHeight="1" x14ac:dyDescent="0.3">
      <c r="B12" s="6"/>
      <c r="C12" s="7"/>
      <c r="D12" s="11"/>
      <c r="E12" s="11"/>
      <c r="F12" s="6"/>
      <c r="G12" s="16" t="b">
        <v>0</v>
      </c>
      <c r="H12" s="11"/>
      <c r="I12" s="11"/>
      <c r="J12" s="11"/>
      <c r="K12" s="17"/>
      <c r="L12" s="17"/>
      <c r="M12" s="11"/>
      <c r="O12" s="6"/>
      <c r="P12" s="7"/>
      <c r="S12" s="6"/>
      <c r="T12" s="16"/>
      <c r="U12" s="11"/>
      <c r="V12" s="11"/>
      <c r="W12" s="11"/>
      <c r="X12" s="17"/>
      <c r="Y12" s="17"/>
      <c r="Z12" s="1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4" x14ac:dyDescent="0.3"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5" spans="1:49" ht="22.5" customHeight="1" x14ac:dyDescent="0.3">
      <c r="K15" s="18" t="s">
        <v>35</v>
      </c>
      <c r="L15" s="19">
        <f>AVERAGE(L6:L11)</f>
        <v>0.78437499999999993</v>
      </c>
      <c r="W15" s="58" t="s">
        <v>35</v>
      </c>
      <c r="X15" s="56"/>
      <c r="Y15" s="19">
        <f>AVERAGE(Y6:Y11)</f>
        <v>0.77979166666666666</v>
      </c>
      <c r="Z15" s="20">
        <f>AVERAGE(X6:X11)</f>
        <v>0.82500000000000007</v>
      </c>
      <c r="AA15" s="2">
        <f>AVERAGE(Z6,Z9,Z10,Z11)</f>
        <v>83.125</v>
      </c>
    </row>
    <row r="16" spans="1:49" ht="22.5" customHeight="1" x14ac:dyDescent="0.3">
      <c r="K16" s="21" t="s">
        <v>36</v>
      </c>
      <c r="L16" s="19">
        <f>AVERAGE(L6,L8,L9,L10,L11)</f>
        <v>0.81624999999999992</v>
      </c>
      <c r="W16" s="59" t="s">
        <v>36</v>
      </c>
      <c r="X16" s="56"/>
      <c r="Y16" s="19">
        <f>AVERAGE(Y6,Y7,Y10,Y11,Y9)</f>
        <v>0.82325000000000004</v>
      </c>
      <c r="Z16" s="20">
        <f>AVERAGE(X6,X7,X9,X10,X11)</f>
        <v>0.83500000000000019</v>
      </c>
      <c r="AA16" s="2">
        <f>AVERAGE(Z6,Z7,Z10,Z9)</f>
        <v>90.5</v>
      </c>
    </row>
    <row r="17" spans="2:27" ht="21.75" customHeight="1" x14ac:dyDescent="0.3">
      <c r="K17" s="21" t="s">
        <v>37</v>
      </c>
      <c r="L17" s="22">
        <f>AVERAGE(M6,M8,M9,M10,M11)</f>
        <v>85.3</v>
      </c>
      <c r="W17" s="58" t="s">
        <v>37</v>
      </c>
      <c r="X17" s="56"/>
      <c r="Y17" s="22">
        <f t="shared" ref="Y17:Z17" si="8">AVERAGE(Z6,Z7,Z11,Z9,Z10)</f>
        <v>86.1</v>
      </c>
      <c r="Z17" s="2">
        <f t="shared" si="8"/>
        <v>87</v>
      </c>
    </row>
    <row r="19" spans="2:27" ht="14" x14ac:dyDescent="0.3">
      <c r="Y19" s="2">
        <f>AVERAGE(Z6,Z7,Z8,Z9,Z10,Z11)</f>
        <v>82.416666666666671</v>
      </c>
    </row>
    <row r="31" spans="2:27" ht="22.5" customHeight="1" x14ac:dyDescent="0.3">
      <c r="B31" s="23" t="s">
        <v>0</v>
      </c>
      <c r="C31" s="23" t="s">
        <v>1</v>
      </c>
      <c r="D31" s="4" t="s">
        <v>2</v>
      </c>
      <c r="E31" s="24" t="s">
        <v>3</v>
      </c>
      <c r="F31" s="23" t="s">
        <v>4</v>
      </c>
      <c r="G31" s="3" t="s">
        <v>5</v>
      </c>
      <c r="H31" s="23" t="s">
        <v>6</v>
      </c>
      <c r="I31" s="23" t="s">
        <v>7</v>
      </c>
      <c r="J31" s="23" t="s">
        <v>8</v>
      </c>
      <c r="K31" s="23" t="s">
        <v>9</v>
      </c>
      <c r="L31" s="23" t="s">
        <v>10</v>
      </c>
      <c r="M31" s="23" t="s">
        <v>11</v>
      </c>
      <c r="O31" s="23" t="s">
        <v>0</v>
      </c>
      <c r="P31" s="23" t="s">
        <v>1</v>
      </c>
      <c r="Q31" s="4" t="s">
        <v>2</v>
      </c>
      <c r="R31" s="24" t="s">
        <v>3</v>
      </c>
      <c r="S31" s="23" t="s">
        <v>4</v>
      </c>
      <c r="T31" s="3" t="s">
        <v>5</v>
      </c>
      <c r="U31" s="23" t="s">
        <v>6</v>
      </c>
      <c r="V31" s="23" t="s">
        <v>7</v>
      </c>
      <c r="W31" s="23" t="s">
        <v>8</v>
      </c>
      <c r="X31" s="23" t="s">
        <v>9</v>
      </c>
      <c r="Y31" s="23" t="s">
        <v>10</v>
      </c>
      <c r="Z31" s="23" t="s">
        <v>11</v>
      </c>
      <c r="AA31" s="25" t="s">
        <v>12</v>
      </c>
    </row>
    <row r="32" spans="2:27" ht="22.5" customHeight="1" x14ac:dyDescent="0.3">
      <c r="B32" s="6"/>
      <c r="C32" s="7"/>
      <c r="D32" s="7"/>
      <c r="E32" s="7"/>
      <c r="F32" s="6"/>
      <c r="G32" s="8"/>
      <c r="H32" s="9"/>
      <c r="I32" s="9"/>
      <c r="J32" s="9"/>
      <c r="K32" s="10"/>
      <c r="L32" s="10"/>
      <c r="M32" s="11"/>
      <c r="O32" s="6"/>
      <c r="P32" s="7"/>
      <c r="Q32" s="7"/>
      <c r="R32" s="7"/>
      <c r="S32" s="6"/>
      <c r="T32" s="8"/>
      <c r="U32" s="9"/>
      <c r="V32" s="9"/>
      <c r="W32" s="9"/>
      <c r="X32" s="10"/>
      <c r="Y32" s="10"/>
      <c r="Z32" s="11"/>
      <c r="AA32" s="11"/>
    </row>
    <row r="33" spans="2:27" ht="22.5" customHeight="1" x14ac:dyDescent="0.3">
      <c r="B33" s="6" t="s">
        <v>21</v>
      </c>
      <c r="C33" s="14">
        <v>45912</v>
      </c>
      <c r="D33" s="9" t="s">
        <v>22</v>
      </c>
      <c r="E33" s="9" t="str">
        <f t="shared" ref="E33:E38" ca="1" si="9">IF(C33 - TODAY() &gt; 0, (C33 - TODAY()) &amp; " days left", "Expired")</f>
        <v>Expired</v>
      </c>
      <c r="F33" s="6" t="s">
        <v>23</v>
      </c>
      <c r="G33" s="9" t="b">
        <v>1</v>
      </c>
      <c r="H33" s="9">
        <v>38</v>
      </c>
      <c r="I33" s="9">
        <v>40</v>
      </c>
      <c r="J33" s="9">
        <v>38.5</v>
      </c>
      <c r="K33" s="10">
        <f t="shared" ref="K33:K38" si="10">H33/I33</f>
        <v>0.95</v>
      </c>
      <c r="L33" s="10">
        <f t="shared" ref="L33:L38" si="11">(J33/I33)</f>
        <v>0.96250000000000002</v>
      </c>
      <c r="M33" s="11">
        <f>(J33*50/I33)+49</f>
        <v>97.125</v>
      </c>
      <c r="O33" s="6" t="s">
        <v>21</v>
      </c>
      <c r="P33" s="14">
        <v>46024</v>
      </c>
      <c r="Q33" s="9" t="s">
        <v>22</v>
      </c>
      <c r="R33" s="9" t="str">
        <f t="shared" ref="R33:R36" ca="1" si="12">IF(P33 - TODAY() &gt; 0, (P33 - TODAY()) &amp; " days left", "Expired")</f>
        <v>Expired</v>
      </c>
      <c r="S33" s="6" t="s">
        <v>28</v>
      </c>
      <c r="T33" s="9" t="b">
        <v>0</v>
      </c>
      <c r="U33" s="9">
        <v>62</v>
      </c>
      <c r="V33" s="9">
        <v>80</v>
      </c>
      <c r="W33" s="15">
        <v>45</v>
      </c>
      <c r="X33" s="10">
        <f t="shared" ref="X33:X36" si="13">(U33+20)/100</f>
        <v>0.82</v>
      </c>
      <c r="Y33" s="10">
        <f t="shared" ref="Y33:Y36" si="14">(W33/V33)</f>
        <v>0.5625</v>
      </c>
      <c r="Z33" s="11">
        <f>W33+20</f>
        <v>65</v>
      </c>
      <c r="AA33" s="11">
        <f t="shared" ref="AA33:AA36" si="15">U33+Z33</f>
        <v>127</v>
      </c>
    </row>
    <row r="34" spans="2:27" ht="22.5" customHeight="1" x14ac:dyDescent="0.3">
      <c r="B34" s="6" t="s">
        <v>17</v>
      </c>
      <c r="C34" s="14">
        <v>45915</v>
      </c>
      <c r="D34" s="9">
        <v>2</v>
      </c>
      <c r="E34" s="9" t="str">
        <f t="shared" ca="1" si="9"/>
        <v>Expired</v>
      </c>
      <c r="F34" s="6" t="s">
        <v>28</v>
      </c>
      <c r="G34" s="9" t="b">
        <v>1</v>
      </c>
      <c r="H34" s="9">
        <v>34</v>
      </c>
      <c r="I34" s="9">
        <v>40</v>
      </c>
      <c r="J34" s="9">
        <v>30</v>
      </c>
      <c r="K34" s="10">
        <f t="shared" si="10"/>
        <v>0.85</v>
      </c>
      <c r="L34" s="10">
        <f t="shared" si="11"/>
        <v>0.75</v>
      </c>
      <c r="M34" s="11">
        <f t="shared" ref="M34:M35" si="16">(J34*80/I34)+19</f>
        <v>79</v>
      </c>
      <c r="O34" s="6" t="s">
        <v>17</v>
      </c>
      <c r="P34" s="14">
        <v>46027</v>
      </c>
      <c r="Q34" s="9">
        <v>1</v>
      </c>
      <c r="R34" s="9" t="str">
        <f t="shared" ca="1" si="12"/>
        <v>Expired</v>
      </c>
      <c r="S34" s="6" t="s">
        <v>18</v>
      </c>
      <c r="T34" s="9" t="b">
        <v>0</v>
      </c>
      <c r="U34" s="9">
        <v>72</v>
      </c>
      <c r="V34" s="9">
        <v>80</v>
      </c>
      <c r="W34" s="15">
        <v>63.5</v>
      </c>
      <c r="X34" s="10">
        <f t="shared" si="13"/>
        <v>0.92</v>
      </c>
      <c r="Y34" s="10">
        <f t="shared" si="14"/>
        <v>0.79374999999999996</v>
      </c>
      <c r="Z34" s="11">
        <f>W34+49</f>
        <v>112.5</v>
      </c>
      <c r="AA34" s="11">
        <f t="shared" si="15"/>
        <v>184.5</v>
      </c>
    </row>
    <row r="35" spans="2:27" ht="22.5" customHeight="1" x14ac:dyDescent="0.3">
      <c r="B35" s="6" t="s">
        <v>24</v>
      </c>
      <c r="C35" s="14">
        <v>45917</v>
      </c>
      <c r="D35" s="9">
        <v>1</v>
      </c>
      <c r="E35" s="9" t="str">
        <f t="shared" ca="1" si="9"/>
        <v>Expired</v>
      </c>
      <c r="F35" s="6" t="s">
        <v>26</v>
      </c>
      <c r="G35" s="9" t="b">
        <v>1</v>
      </c>
      <c r="H35" s="9">
        <v>34</v>
      </c>
      <c r="I35" s="9">
        <v>40</v>
      </c>
      <c r="J35" s="9">
        <v>33.5</v>
      </c>
      <c r="K35" s="10">
        <f t="shared" si="10"/>
        <v>0.85</v>
      </c>
      <c r="L35" s="10">
        <f t="shared" si="11"/>
        <v>0.83750000000000002</v>
      </c>
      <c r="M35" s="11">
        <f t="shared" si="16"/>
        <v>86</v>
      </c>
      <c r="O35" s="6" t="s">
        <v>38</v>
      </c>
      <c r="P35" s="14">
        <v>46028</v>
      </c>
      <c r="Q35" s="9">
        <v>2</v>
      </c>
      <c r="R35" s="9" t="str">
        <f t="shared" ca="1" si="12"/>
        <v>Expired</v>
      </c>
      <c r="S35" s="6" t="s">
        <v>26</v>
      </c>
      <c r="T35" s="9" t="b">
        <v>0</v>
      </c>
      <c r="U35" s="15">
        <v>58</v>
      </c>
      <c r="V35" s="9">
        <v>80</v>
      </c>
      <c r="W35" s="9">
        <v>58.5</v>
      </c>
      <c r="X35" s="10">
        <f t="shared" si="13"/>
        <v>0.78</v>
      </c>
      <c r="Y35" s="10">
        <f t="shared" si="14"/>
        <v>0.73124999999999996</v>
      </c>
      <c r="Z35" s="11">
        <f>W35+19</f>
        <v>77.5</v>
      </c>
      <c r="AA35" s="11">
        <f t="shared" si="15"/>
        <v>135.5</v>
      </c>
    </row>
    <row r="36" spans="2:27" ht="22.5" customHeight="1" x14ac:dyDescent="0.3">
      <c r="B36" s="6" t="s">
        <v>24</v>
      </c>
      <c r="C36" s="14">
        <v>45923</v>
      </c>
      <c r="D36" s="9">
        <v>1</v>
      </c>
      <c r="E36" s="9" t="str">
        <f t="shared" ca="1" si="9"/>
        <v>Expired</v>
      </c>
      <c r="F36" s="6" t="s">
        <v>30</v>
      </c>
      <c r="G36" s="9" t="b">
        <v>1</v>
      </c>
      <c r="H36" s="9">
        <v>38</v>
      </c>
      <c r="I36" s="9">
        <v>40</v>
      </c>
      <c r="J36" s="9">
        <v>38.5</v>
      </c>
      <c r="K36" s="10">
        <f t="shared" si="10"/>
        <v>0.95</v>
      </c>
      <c r="L36" s="10">
        <f t="shared" si="11"/>
        <v>0.96250000000000002</v>
      </c>
      <c r="M36" s="11">
        <f>(J36*80/I36)+20</f>
        <v>97</v>
      </c>
      <c r="O36" s="6" t="s">
        <v>24</v>
      </c>
      <c r="P36" s="14">
        <v>46029</v>
      </c>
      <c r="Q36" s="9">
        <v>1</v>
      </c>
      <c r="R36" s="9" t="str">
        <f t="shared" ca="1" si="12"/>
        <v>Expired</v>
      </c>
      <c r="S36" s="6" t="s">
        <v>30</v>
      </c>
      <c r="T36" s="9" t="b">
        <v>0</v>
      </c>
      <c r="U36" s="15">
        <v>74</v>
      </c>
      <c r="V36" s="9">
        <v>80</v>
      </c>
      <c r="W36" s="9">
        <v>66.5</v>
      </c>
      <c r="X36" s="10">
        <f t="shared" si="13"/>
        <v>0.94</v>
      </c>
      <c r="Y36" s="10">
        <f t="shared" si="14"/>
        <v>0.83125000000000004</v>
      </c>
      <c r="Z36" s="11">
        <f>W36+20</f>
        <v>86.5</v>
      </c>
      <c r="AA36" s="11">
        <f t="shared" si="15"/>
        <v>160.5</v>
      </c>
    </row>
    <row r="37" spans="2:27" ht="22.5" customHeight="1" x14ac:dyDescent="0.3">
      <c r="B37" s="6" t="s">
        <v>17</v>
      </c>
      <c r="C37" s="14">
        <v>45925</v>
      </c>
      <c r="D37" s="9">
        <v>4</v>
      </c>
      <c r="E37" s="9" t="str">
        <f t="shared" ca="1" si="9"/>
        <v>Expired</v>
      </c>
      <c r="F37" s="6" t="s">
        <v>18</v>
      </c>
      <c r="G37" s="9" t="b">
        <v>1</v>
      </c>
      <c r="H37" s="9">
        <v>28</v>
      </c>
      <c r="I37" s="9">
        <v>40</v>
      </c>
      <c r="J37" s="9">
        <v>30</v>
      </c>
      <c r="K37" s="10">
        <f t="shared" si="10"/>
        <v>0.7</v>
      </c>
      <c r="L37" s="10">
        <f t="shared" si="11"/>
        <v>0.75</v>
      </c>
      <c r="M37" s="11">
        <f>(J37*80/I37)+19</f>
        <v>79</v>
      </c>
    </row>
    <row r="38" spans="2:27" ht="22.5" customHeight="1" x14ac:dyDescent="0.3">
      <c r="B38" s="6" t="s">
        <v>21</v>
      </c>
      <c r="C38" s="14">
        <v>45926</v>
      </c>
      <c r="D38" s="9">
        <v>1</v>
      </c>
      <c r="E38" s="9" t="str">
        <f t="shared" ca="1" si="9"/>
        <v>Expired</v>
      </c>
      <c r="F38" s="6" t="s">
        <v>25</v>
      </c>
      <c r="G38" s="9" t="b">
        <v>1</v>
      </c>
      <c r="H38" s="9">
        <v>35</v>
      </c>
      <c r="I38" s="9">
        <v>40</v>
      </c>
      <c r="J38" s="9">
        <v>38.5</v>
      </c>
      <c r="K38" s="10">
        <f t="shared" si="10"/>
        <v>0.875</v>
      </c>
      <c r="L38" s="10">
        <f t="shared" si="11"/>
        <v>0.96250000000000002</v>
      </c>
      <c r="M38" s="11">
        <f>(J38*80/I38)+20</f>
        <v>97</v>
      </c>
      <c r="W38" s="60"/>
      <c r="X38" s="56"/>
      <c r="Y38" s="26" t="s">
        <v>39</v>
      </c>
      <c r="Z38" s="26" t="s">
        <v>40</v>
      </c>
    </row>
    <row r="39" spans="2:27" ht="22.5" customHeight="1" x14ac:dyDescent="0.3">
      <c r="B39" s="6"/>
      <c r="C39" s="7"/>
      <c r="D39" s="11"/>
      <c r="E39" s="11"/>
      <c r="F39" s="6"/>
      <c r="G39" s="16" t="b">
        <v>0</v>
      </c>
      <c r="H39" s="11"/>
      <c r="I39" s="11"/>
      <c r="J39" s="11"/>
      <c r="K39" s="17"/>
      <c r="L39" s="17"/>
      <c r="M39" s="11"/>
      <c r="U39" s="20">
        <f>AVERAGE(Y33,Y34)</f>
        <v>0.67812499999999998</v>
      </c>
      <c r="W39" s="61" t="s">
        <v>35</v>
      </c>
      <c r="X39" s="62"/>
      <c r="Y39" s="29">
        <f>AVERAGE(Y33:Y36)</f>
        <v>0.72968750000000004</v>
      </c>
      <c r="Z39" s="30">
        <f>AVERAGE(X33:X36)</f>
        <v>0.86499999999999999</v>
      </c>
    </row>
    <row r="40" spans="2:27" ht="14" x14ac:dyDescent="0.3">
      <c r="W40" s="63"/>
      <c r="X40" s="64"/>
      <c r="Y40" s="11"/>
    </row>
    <row r="42" spans="2:27" ht="14" x14ac:dyDescent="0.3">
      <c r="K42" s="18" t="s">
        <v>35</v>
      </c>
      <c r="L42" s="19">
        <f>AVERAGE(L33:L38)</f>
        <v>0.87083333333333324</v>
      </c>
    </row>
    <row r="43" spans="2:27" ht="14" x14ac:dyDescent="0.3">
      <c r="K43" s="21" t="s">
        <v>36</v>
      </c>
      <c r="L43" s="19">
        <f>AVERAGE(L33,L35,L36,L37,L38)</f>
        <v>0.89500000000000013</v>
      </c>
    </row>
    <row r="44" spans="2:27" ht="14" x14ac:dyDescent="0.3">
      <c r="K44" s="21" t="s">
        <v>37</v>
      </c>
      <c r="L44" s="22">
        <f>AVERAGE(M33,M35,M36,M37,M38)</f>
        <v>91.224999999999994</v>
      </c>
    </row>
  </sheetData>
  <mergeCells count="6">
    <mergeCell ref="W40:X40"/>
    <mergeCell ref="W15:X15"/>
    <mergeCell ref="W16:X16"/>
    <mergeCell ref="W17:X17"/>
    <mergeCell ref="W38:X38"/>
    <mergeCell ref="W39:X39"/>
  </mergeCells>
  <dataValidations count="3">
    <dataValidation type="custom" allowBlank="1" showDropDown="1" sqref="AC5:AC8 C5:C12 P5:P12 P32:P36 C32:C39" xr:uid="{00000000-0002-0000-0200-000000000000}">
      <formula1>OR(NOT(ISERROR(DATEVALUE(C5))), AND(ISNUMBER(C5), LEFT(CELL("format", C5))="D"))</formula1>
    </dataValidation>
    <dataValidation type="custom" allowBlank="1" showDropDown="1" sqref="H5:M12 U5:Z12 U32:Z36 H32:M39" xr:uid="{00000000-0002-0000-0200-000001000000}">
      <formula1>AND(ISNUMBER(H5),(NOT(OR(NOT(ISERROR(DATEVALUE(H5))), AND(ISNUMBER(H5), LEFT(CELL("format", H5))="D")))))</formula1>
    </dataValidation>
    <dataValidation allowBlank="1" showDropDown="1" sqref="B5:B12 F5:F12 O5:O12 S5:S12 O32:O36 S32:S36 B32:B39 F32:F39" xr:uid="{00000000-0002-0000-0200-000002000000}"/>
  </dataValidations>
  <hyperlinks>
    <hyperlink ref="AH5" r:id="rId1" xr:uid="{00000000-0004-0000-0200-000000000000}"/>
    <hyperlink ref="AH6" r:id="rId2" xr:uid="{00000000-0004-0000-0200-000001000000}"/>
    <hyperlink ref="AH7" r:id="rId3" xr:uid="{00000000-0004-0000-0200-000002000000}"/>
    <hyperlink ref="AH8" r:id="rId4" xr:uid="{00000000-0004-0000-0200-000003000000}"/>
  </hyperlinks>
  <printOptions horizontalCentered="1" gridLines="1"/>
  <pageMargins left="0.7" right="0.7" top="0.75" bottom="0.75" header="0" footer="0"/>
  <pageSetup scale="27" pageOrder="overThenDown" orientation="landscape" cellComments="atEnd"/>
  <drawing r:id="rId5"/>
  <tableParts count="5"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 Exam Tracker</vt:lpstr>
      <vt:lpstr>Exam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Miss Meow</cp:lastModifiedBy>
  <dcterms:modified xsi:type="dcterms:W3CDTF">2026-08-16T17:10:24Z</dcterms:modified>
</cp:coreProperties>
</file>